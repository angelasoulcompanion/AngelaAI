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athai.boo\Desktop\FAII-Draft Document ISO27001\02_Policy\04_Suppor Document\"/>
    </mc:Choice>
  </mc:AlternateContent>
  <xr:revisionPtr revIDLastSave="0" documentId="8_{142496B2-2A98-476B-A4A7-D2965C14762D}" xr6:coauthVersionLast="47" xr6:coauthVersionMax="47" xr10:uidLastSave="{00000000-0000-0000-0000-000000000000}"/>
  <bookViews>
    <workbookView xWindow="-108" yWindow="-108" windowWidth="23256" windowHeight="12576" tabRatio="803" firstSheet="1" activeTab="4" xr2:uid="{00000000-000D-0000-FFFF-FFFF00000000}"/>
  </bookViews>
  <sheets>
    <sheet name="0_History_Log" sheetId="1" r:id="rId1"/>
    <sheet name="0. Asset Evaluation " sheetId="2" r:id="rId2"/>
    <sheet name="1_Impact_LikeliHood" sheetId="3" r:id="rId3"/>
    <sheet name="2_Risk_Criteria" sheetId="4" r:id="rId4"/>
    <sheet name="3_Risk_Assessment" sheetId="5" r:id="rId5"/>
    <sheet name="4_RTP" sheetId="6" r:id="rId6"/>
    <sheet name="Type of Asset" sheetId="7" r:id="rId7"/>
    <sheet name="Group Of Asset" sheetId="8" r:id="rId8"/>
    <sheet name="Pivot Table" sheetId="9" r:id="rId9"/>
    <sheet name="Data Support" sheetId="10" r:id="rId10"/>
  </sheets>
  <definedNames>
    <definedName name="_xlnm._FilterDatabase" localSheetId="4" hidden="1">'3_Risk_Assessment'!$A$3:$AA$73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3" i="5" l="1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L73" i="5"/>
  <c r="L72" i="5"/>
  <c r="N72" i="5" s="1"/>
  <c r="O72" i="5" s="1"/>
  <c r="L71" i="5"/>
  <c r="L70" i="5"/>
  <c r="N70" i="5" s="1"/>
  <c r="L69" i="5"/>
  <c r="L68" i="5"/>
  <c r="Z68" i="5" s="1"/>
  <c r="L67" i="5"/>
  <c r="N67" i="5" s="1"/>
  <c r="O67" i="5" s="1"/>
  <c r="L66" i="5"/>
  <c r="N66" i="5" s="1"/>
  <c r="L65" i="5"/>
  <c r="N65" i="5" s="1"/>
  <c r="O65" i="5" s="1"/>
  <c r="L64" i="5"/>
  <c r="L63" i="5"/>
  <c r="L62" i="5"/>
  <c r="N62" i="5" s="1"/>
  <c r="L61" i="5"/>
  <c r="L60" i="5"/>
  <c r="Z60" i="5" s="1"/>
  <c r="L59" i="5"/>
  <c r="N59" i="5" s="1"/>
  <c r="L58" i="5"/>
  <c r="N58" i="5" s="1"/>
  <c r="L57" i="5"/>
  <c r="N57" i="5" s="1"/>
  <c r="L56" i="5"/>
  <c r="N56" i="5" s="1"/>
  <c r="O56" i="5" s="1"/>
  <c r="L55" i="5"/>
  <c r="N55" i="5" s="1"/>
  <c r="L54" i="5"/>
  <c r="N54" i="5" s="1"/>
  <c r="O54" i="5" s="1"/>
  <c r="L53" i="5"/>
  <c r="N53" i="5" s="1"/>
  <c r="O53" i="5" s="1"/>
  <c r="L52" i="5"/>
  <c r="N52" i="5" s="1"/>
  <c r="L51" i="5"/>
  <c r="L50" i="5"/>
  <c r="N50" i="5" s="1"/>
  <c r="L49" i="5"/>
  <c r="L48" i="5"/>
  <c r="L47" i="5"/>
  <c r="L46" i="5"/>
  <c r="Z46" i="5" s="1"/>
  <c r="L45" i="5"/>
  <c r="N45" i="5" s="1"/>
  <c r="O45" i="5" s="1"/>
  <c r="L44" i="5"/>
  <c r="N44" i="5" s="1"/>
  <c r="O44" i="5" s="1"/>
  <c r="L43" i="5"/>
  <c r="N43" i="5" s="1"/>
  <c r="L42" i="5"/>
  <c r="L41" i="5"/>
  <c r="L40" i="5"/>
  <c r="L39" i="5"/>
  <c r="L38" i="5"/>
  <c r="L37" i="5"/>
  <c r="N37" i="5" s="1"/>
  <c r="O37" i="5" s="1"/>
  <c r="L36" i="5"/>
  <c r="N36" i="5" s="1"/>
  <c r="L35" i="5"/>
  <c r="N35" i="5" s="1"/>
  <c r="L34" i="5"/>
  <c r="N34" i="5" s="1"/>
  <c r="L33" i="5"/>
  <c r="N33" i="5" s="1"/>
  <c r="L32" i="5"/>
  <c r="N32" i="5" s="1"/>
  <c r="O32" i="5" s="1"/>
  <c r="L31" i="5"/>
  <c r="L30" i="5"/>
  <c r="L29" i="5"/>
  <c r="N29" i="5" s="1"/>
  <c r="O29" i="5" s="1"/>
  <c r="L28" i="5"/>
  <c r="L27" i="5"/>
  <c r="L26" i="5"/>
  <c r="N26" i="5" s="1"/>
  <c r="L25" i="5"/>
  <c r="L24" i="5"/>
  <c r="N24" i="5" s="1"/>
  <c r="O24" i="5" s="1"/>
  <c r="L23" i="5"/>
  <c r="N23" i="5" s="1"/>
  <c r="O23" i="5" s="1"/>
  <c r="L22" i="5"/>
  <c r="N22" i="5" s="1"/>
  <c r="O22" i="5" s="1"/>
  <c r="L21" i="5"/>
  <c r="N21" i="5" s="1"/>
  <c r="L20" i="5"/>
  <c r="N20" i="5" s="1"/>
  <c r="L19" i="5"/>
  <c r="L18" i="5"/>
  <c r="N18" i="5" s="1"/>
  <c r="L17" i="5"/>
  <c r="L16" i="5"/>
  <c r="L15" i="5"/>
  <c r="N15" i="5" s="1"/>
  <c r="O15" i="5" s="1"/>
  <c r="L14" i="5"/>
  <c r="N14" i="5" s="1"/>
  <c r="O14" i="5" s="1"/>
  <c r="L13" i="5"/>
  <c r="N13" i="5" s="1"/>
  <c r="O13" i="5" s="1"/>
  <c r="L12" i="5"/>
  <c r="N12" i="5" s="1"/>
  <c r="L11" i="5"/>
  <c r="N11" i="5" s="1"/>
  <c r="L10" i="5"/>
  <c r="N10" i="5" s="1"/>
  <c r="L9" i="5"/>
  <c r="N9" i="5" s="1"/>
  <c r="O9" i="5" s="1"/>
  <c r="L8" i="5"/>
  <c r="N8" i="5" s="1"/>
  <c r="L7" i="5"/>
  <c r="N7" i="5" s="1"/>
  <c r="L6" i="5"/>
  <c r="N6" i="5" s="1"/>
  <c r="L5" i="5"/>
  <c r="L4" i="5"/>
  <c r="J42" i="4"/>
  <c r="J41" i="4"/>
  <c r="J38" i="4"/>
  <c r="J39" i="4"/>
  <c r="J40" i="4"/>
  <c r="J37" i="4"/>
  <c r="J33" i="4"/>
  <c r="J34" i="4"/>
  <c r="J35" i="4"/>
  <c r="J36" i="4"/>
  <c r="J32" i="4"/>
  <c r="J29" i="4"/>
  <c r="J30" i="4"/>
  <c r="J31" i="4"/>
  <c r="J28" i="4"/>
  <c r="D10" i="10"/>
  <c r="C10" i="10"/>
  <c r="B10" i="10"/>
  <c r="C9" i="10"/>
  <c r="B9" i="10"/>
  <c r="C8" i="10"/>
  <c r="B8" i="10"/>
  <c r="D7" i="10"/>
  <c r="C7" i="10"/>
  <c r="B7" i="10"/>
  <c r="C6" i="10"/>
  <c r="B6" i="10"/>
  <c r="C5" i="10"/>
  <c r="B5" i="10"/>
  <c r="C4" i="10"/>
  <c r="B4" i="10"/>
  <c r="B3" i="10"/>
  <c r="Z25" i="5" l="1"/>
  <c r="Z47" i="5"/>
  <c r="Z4" i="5"/>
  <c r="Z49" i="5"/>
  <c r="Z71" i="5"/>
  <c r="Z28" i="5"/>
  <c r="Z30" i="5"/>
  <c r="Z31" i="5"/>
  <c r="Z54" i="5"/>
  <c r="N31" i="5"/>
  <c r="O31" i="5" s="1"/>
  <c r="Z41" i="5"/>
  <c r="Z73" i="5"/>
  <c r="Z32" i="5"/>
  <c r="Z72" i="5"/>
  <c r="N30" i="5"/>
  <c r="O30" i="5" s="1"/>
  <c r="Z17" i="5"/>
  <c r="Z39" i="5"/>
  <c r="Z33" i="5"/>
  <c r="Z56" i="5"/>
  <c r="Z13" i="5"/>
  <c r="Z14" i="5"/>
  <c r="Z20" i="5"/>
  <c r="Z22" i="5"/>
  <c r="Z23" i="5"/>
  <c r="Z24" i="5"/>
  <c r="Z9" i="5"/>
  <c r="Z37" i="5"/>
  <c r="N16" i="5"/>
  <c r="O16" i="5" s="1"/>
  <c r="N60" i="5"/>
  <c r="O60" i="5" s="1"/>
  <c r="N39" i="5"/>
  <c r="O39" i="5" s="1"/>
  <c r="N46" i="5"/>
  <c r="O46" i="5" s="1"/>
  <c r="N47" i="5"/>
  <c r="O47" i="5" s="1"/>
  <c r="N28" i="5"/>
  <c r="O28" i="5" s="1"/>
  <c r="O18" i="5"/>
  <c r="O62" i="5"/>
  <c r="O43" i="5"/>
  <c r="N38" i="5"/>
  <c r="O38" i="5" s="1"/>
  <c r="Z64" i="5"/>
  <c r="N17" i="5"/>
  <c r="O17" i="5" s="1"/>
  <c r="N61" i="5"/>
  <c r="O61" i="5" s="1"/>
  <c r="N40" i="5"/>
  <c r="O40" i="5" s="1"/>
  <c r="O26" i="5"/>
  <c r="O70" i="5"/>
  <c r="N19" i="5"/>
  <c r="O19" i="5" s="1"/>
  <c r="N41" i="5"/>
  <c r="O41" i="5" s="1"/>
  <c r="N63" i="5"/>
  <c r="O63" i="5" s="1"/>
  <c r="O5" i="5"/>
  <c r="Z45" i="5"/>
  <c r="N42" i="5"/>
  <c r="O42" i="5" s="1"/>
  <c r="N64" i="5"/>
  <c r="O64" i="5" s="1"/>
  <c r="O6" i="5"/>
  <c r="N68" i="5"/>
  <c r="O68" i="5" s="1"/>
  <c r="N25" i="5"/>
  <c r="O25" i="5" s="1"/>
  <c r="N69" i="5"/>
  <c r="O69" i="5" s="1"/>
  <c r="Z55" i="5"/>
  <c r="N48" i="5"/>
  <c r="O48" i="5" s="1"/>
  <c r="Z12" i="5"/>
  <c r="N5" i="5"/>
  <c r="N27" i="5"/>
  <c r="O27" i="5" s="1"/>
  <c r="N49" i="5"/>
  <c r="O49" i="5" s="1"/>
  <c r="N71" i="5"/>
  <c r="O71" i="5" s="1"/>
  <c r="Z6" i="5"/>
  <c r="N51" i="5"/>
  <c r="O51" i="5" s="1"/>
  <c r="N73" i="5"/>
  <c r="O73" i="5" s="1"/>
  <c r="O8" i="5"/>
  <c r="O52" i="5"/>
  <c r="O10" i="5"/>
  <c r="O11" i="5"/>
  <c r="O33" i="5"/>
  <c r="O35" i="5"/>
  <c r="Z16" i="5"/>
  <c r="Z62" i="5"/>
  <c r="O34" i="5"/>
  <c r="O20" i="5"/>
  <c r="O66" i="5"/>
  <c r="O7" i="5"/>
  <c r="Z69" i="5"/>
  <c r="Z48" i="5"/>
  <c r="Z57" i="5"/>
  <c r="Z53" i="5"/>
  <c r="Z36" i="5"/>
  <c r="O58" i="5"/>
  <c r="O21" i="5"/>
  <c r="Z21" i="5"/>
  <c r="Z40" i="5"/>
  <c r="Z7" i="5"/>
  <c r="Z63" i="5"/>
  <c r="Z8" i="5"/>
  <c r="Z70" i="5"/>
  <c r="Z15" i="5"/>
  <c r="O59" i="5"/>
  <c r="Z65" i="5"/>
  <c r="Z61" i="5"/>
  <c r="Z44" i="5"/>
  <c r="O50" i="5"/>
  <c r="Z38" i="5"/>
  <c r="Z5" i="5"/>
  <c r="Z29" i="5"/>
  <c r="O55" i="5"/>
  <c r="O57" i="5"/>
  <c r="O12" i="5"/>
  <c r="O36" i="5"/>
  <c r="N4" i="5"/>
  <c r="O4" i="5" s="1"/>
  <c r="Z52" i="5"/>
  <c r="Z26" i="5"/>
  <c r="Z50" i="5"/>
  <c r="Z11" i="5"/>
  <c r="Z19" i="5"/>
  <c r="Z27" i="5"/>
  <c r="Z35" i="5"/>
  <c r="Z43" i="5"/>
  <c r="Z51" i="5"/>
  <c r="Z59" i="5"/>
  <c r="Z67" i="5"/>
  <c r="Z18" i="5"/>
  <c r="Z34" i="5"/>
  <c r="Z58" i="5"/>
  <c r="Z10" i="5"/>
  <c r="Z42" i="5"/>
  <c r="Z6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500-000002000000}">
      <text>
        <r>
          <rPr>
            <sz val="11"/>
            <color rgb="FF000000"/>
            <rFont val="Calibri"/>
            <family val="2"/>
          </rPr>
          <t>ถาม</t>
        </r>
        <r>
          <rPr>
            <sz val="11"/>
            <color rgb="FF000000"/>
            <rFont val="Calibri"/>
            <family val="2"/>
          </rPr>
          <t xml:space="preserve">HR
</t>
        </r>
        <r>
          <rPr>
            <sz val="11"/>
            <color rgb="FF000000"/>
            <rFont val="Calibri"/>
            <family val="2"/>
          </rPr>
          <t xml:space="preserve">	-Nattarit Feakwilai
</t>
        </r>
        <r>
          <rPr>
            <sz val="11"/>
            <color rgb="FF000000"/>
            <rFont val="Calibri"/>
            <family val="2"/>
          </rPr>
          <t xml:space="preserve">@supaporn@predictive.co.th
</t>
        </r>
        <r>
          <rPr>
            <sz val="11"/>
            <color rgb="FF000000"/>
            <rFont val="Calibri"/>
            <family val="2"/>
          </rPr>
          <t xml:space="preserve">	-Nattarit Feakwilai</t>
        </r>
      </text>
    </comment>
    <comment ref="H18" authorId="0" shapeId="0" xr:uid="{00000000-0006-0000-0500-000001000000}">
      <text>
        <r>
          <rPr>
            <sz val="11"/>
            <color rgb="FF000000"/>
            <rFont val="Calibri"/>
            <family val="2"/>
          </rPr>
          <t>กำหนด</t>
        </r>
        <r>
          <rPr>
            <sz val="11"/>
            <color rgb="FF000000"/>
            <rFont val="Calibri"/>
            <family val="2"/>
          </rPr>
          <t xml:space="preserve"> SLA @thanaphong@predictive.co.th
</t>
        </r>
        <r>
          <rPr>
            <sz val="11"/>
            <color rgb="FF000000"/>
            <rFont val="Calibri"/>
            <family val="2"/>
          </rPr>
          <t xml:space="preserve">	-Nattarit Feakwilai</t>
        </r>
      </text>
    </comment>
  </commentList>
</comments>
</file>

<file path=xl/sharedStrings.xml><?xml version="1.0" encoding="utf-8"?>
<sst xmlns="http://schemas.openxmlformats.org/spreadsheetml/2006/main" count="964" uniqueCount="531">
  <si>
    <t>รายละเอียดการควบคุมเอกสาร</t>
  </si>
  <si>
    <t>รหัสเอกสาร</t>
  </si>
  <si>
    <t>ชื่อเอกสาร</t>
  </si>
  <si>
    <t>ระดับชั้นความลับ</t>
  </si>
  <si>
    <t>ภายใน</t>
  </si>
  <si>
    <t>เจ้าของเอกสาร</t>
  </si>
  <si>
    <t>ประวัติการปรับปรุงข้อมูล</t>
  </si>
  <si>
    <t>ลำดับ</t>
  </si>
  <si>
    <t>วันที่บันทึกปรับปรุงข้อมูล</t>
  </si>
  <si>
    <t>รายละเอียด</t>
  </si>
  <si>
    <t>ผู้ดำเนินงาน</t>
  </si>
  <si>
    <t>ผู้บันทึกข้อมูล</t>
  </si>
  <si>
    <t>กำหนดเกณฑ์การประเมินความเสี่ยง</t>
  </si>
  <si>
    <t>ดำเนินการจัดทำแผนลดความเสี่ยง</t>
  </si>
  <si>
    <t>ติดตามการดำเนินการแผนลดความเสี่ยง</t>
  </si>
  <si>
    <t>QA1: เป็นทรัพย์สินที่เก็บข้อมูลสารสนเทศหรือประมวลผลข้อมูลสารสนเทศของบริษัทฯ</t>
  </si>
  <si>
    <t>QA2: เป็นทรัพย์สินที่เมื่อสูญหาย เสียหาย ถูกเปิดเผย ไม่พร้อมใช้งานหรือถูกเปลี่ยนแปลง จะส่งผลกระทบต่อความปลอดภัยและความเป็นส่วนตัวของผู้ป่วยหรือบุคลากร</t>
  </si>
  <si>
    <t>QB1: เป็นทรัพย์สินที่หน่วยงานมีหน้าที่โดยตรงที่ต้องจัดเก็บควบคุมดูแลบำรุงรักษา</t>
  </si>
  <si>
    <t>QB2: เป็นทรัพย์สินที่หน่วยงานมีส่วนร่วมรับผิดชอบและกรณีเกิดความเสียหายกับทรัพย์สินนั้น หน่วยงานไม่สามารถปฏิเสธความรับผิดชอบได้</t>
  </si>
  <si>
    <t>QB3: เป็นทรัพย์สินที่มีระเบียบหรือคำสั่งที่มาจากภายนอกและมีผลให้หน่วยงานต้องรับผิดชอบในการควบคุม จัดเก็บ ดูแลหรือทำลายทรัพย์สินนั้น</t>
  </si>
  <si>
    <t>QB4: เป็นทรัพย์สินที่มีประโยชน์ต่อหน่วยงาน ในด้านสร้างความสามารถในการดำเนินธุรกิจหรือสร้างความได้เปรียบต่อคู่แข่ง</t>
  </si>
  <si>
    <t>QB5: เป็นทรัพย์สินที่ต้องทำการควบคุมการรับรู้ การเข้าถึงหรือการเปิดเผย</t>
  </si>
  <si>
    <t>QB6: เป็นทรัพย์สินที่ต้องทำการควบคุมความพร้อมใช้งาน</t>
  </si>
  <si>
    <t>QB7: เป็นทรัพย์สินที่ต้องทำการควบคุมความถูกต้อง</t>
  </si>
  <si>
    <t>ผลกระทบ (Impact)</t>
  </si>
  <si>
    <t>1. ผลกระทบด้านการเงิน (Financial)</t>
  </si>
  <si>
    <t>ระดับผลกระทบ</t>
  </si>
  <si>
    <t>คำอธิบาย</t>
  </si>
  <si>
    <t>สูงมาก</t>
  </si>
  <si>
    <t>มูลค่าความเสียหายสูงกว่า 1,000,001 บาท</t>
  </si>
  <si>
    <t>สูง</t>
  </si>
  <si>
    <t>มูลค่าความเสียหายระหว่าง 500,001 – 1,000,000 บาท</t>
  </si>
  <si>
    <t>ปานกลาง</t>
  </si>
  <si>
    <t>มูลค่าความเสียหายระหว่าง 100,001 – 500,000 บาท</t>
  </si>
  <si>
    <t>ต่ำ</t>
  </si>
  <si>
    <t>มูลค่าความเสียหายระหว่าง 50,001 – 100,000 บาท</t>
  </si>
  <si>
    <t>ต่ำมาก</t>
  </si>
  <si>
    <t>มูลค่าความเสียหายไม่เกิน 50,000 บาท</t>
  </si>
  <si>
    <t>2. ผลกระทบด้านการปฏิบัติการ (Operation)</t>
  </si>
  <si>
    <t>สูญเสียเวลามากกว่า 4 ชม.เพื่อให้ระบบสารสนเทศทำงาน เข้าถึง หรือใช้งานได้ดังเดิม</t>
  </si>
  <si>
    <t>สูญเสียเวลาระหว่าง 1-4 ชม.เพื่อให้ระบบสารสนเทศทำงาน เข้าถึง หรือใช้งานได้ดังเดิม</t>
  </si>
  <si>
    <t>สูญเสียเวลาระหว่าง 30 นาที – 1 ชม. เพื่อให้ระบบสารสนเทศทำงาน เข้าถึง หรือใช้งานได้ดังเดิม</t>
  </si>
  <si>
    <t>สูญเสียเวลาระหว่าง 15-30 นาที เพื่อให้ระบบสารสนเทศทำงาน เข้าถึง หรือใช้งานได้ดังเดิม</t>
  </si>
  <si>
    <t>สูญเสียเวลาน้อยกว่า 15 นาที เพื่อให้ระบบสารสนเทศทำงาน เข้าถึง หรือใช้งานได้ดังเดิม</t>
  </si>
  <si>
    <t>3. ผลกระทบด้านภาพลักษณ์ (Reputation)</t>
  </si>
  <si>
    <t>มีผลกระทบต่อภาพลักษณ์/ความเชื่อมั่นขององค์กรในระดับประเทศ และมีการเผยแพร่ข่าวผ่านสื่อภายในประเทศและต่างประเทศ</t>
  </si>
  <si>
    <t>มีผลกระทบต่อภาพลักษณ์องค์กร และมีการเผยแพร่ข่าวผ่านสื่อภายในประเทศ</t>
  </si>
  <si>
    <t>มีผลกระทบต่อภาพลักษณ์องค์กร แต่สามารถควบคุมได้</t>
  </si>
  <si>
    <t>ไม่มี/มีผลกระทบเล็กน้อยต่อภาพลักษณ์องค์กร</t>
  </si>
  <si>
    <t>ไม่เป็นที่สนใจต่อสื่อ และไม่มีผลทางกฎหมายหรือกฎระเบียบ</t>
  </si>
  <si>
    <t>4. ผลกระทบด้านลูกค้า (Customer)</t>
  </si>
  <si>
    <t>ผู้รับบริการ/ลูกค้า ไม่พอใจในการบริการ และ/หรือมีการร้องเรียนการดำเนินการงานของบริษัท</t>
  </si>
  <si>
    <t>ผู้รับบริการ/ลูกค้า ไม่พอใจและไม่กลับมาใช้บริการซ้ำ</t>
  </si>
  <si>
    <t>ผู้รับบริการ/ลูกค้า แสดงงความคิดเห็นในเชิงลบต่อการบริการ</t>
  </si>
  <si>
    <t>ผู้รับบริการ/ลูกค้าไม่เข้าใจและพึ่งพอใจในการให้บริการ</t>
  </si>
  <si>
    <t>ผู้รับบริการ/ลูกค้าไม่ได้รับบริการการอำนวยความสะดวกภายใน</t>
  </si>
  <si>
    <t>5. ผลกระทบด้านพนักงาน (Employee)</t>
  </si>
  <si>
    <t>ทุพลภาพหรือเสียชีวิต / เกิดการนัดหยุดงาน</t>
  </si>
  <si>
    <t>บาดเจ็บรุนแรงหรือเจ็บป่วยรุนแรง / เกิดการประท้วง</t>
  </si>
  <si>
    <t>บาดเจ็บต้องได้รับการรักษาทางการแพทย์ / ทำให้เกิดการเสียขวัญ กำลังใจในการปฏิบัติงาน หรือเกิดความไม่พึ่งพอใจ มากกว่า 1 หน่วยงาน</t>
  </si>
  <si>
    <t>บาดเจ็บเล็กน้อย / ทำให้เกิดการเสียขวัญ กำลังใจในการปฏิบัติงาน หรือเกิดความไม่พึงพอใจเพียง 1 หน่วยงาน</t>
  </si>
  <si>
    <t>ไม่มีผู้ได้รับบาดเจ็บ / ทำให้เกิดการเสียขวัญ กำลังใจในการปฏิบัติงาน หรือเกิดความไม่พึงพอใจในระดับบุคคล</t>
  </si>
  <si>
    <t>ความน่าจะเป็นหรือโอกาสเกิดความเสี่ยง (LikeliHood)</t>
  </si>
  <si>
    <t>โอกาสที่จะเกิด</t>
  </si>
  <si>
    <t>ความถี่ / ความน่าจะเป็นในการเกิดเหตุการณ์</t>
  </si>
  <si>
    <t>1 เดือนต่อครั้งหรือมากกว่า / มีโอกาสเกิดขึ้นเกือบทุกครั้ง</t>
  </si>
  <si>
    <t>1-6 เดือนต่อครั้งแต่ไม่เกิน 5 ครั้ง / มีโอกาสในการเกิดค่อนข้างสูงหรือบ่อยๆ</t>
  </si>
  <si>
    <t>1 ปีต่อครั้ง / มีโอกาสเกิดบางครั้ง</t>
  </si>
  <si>
    <t>2-4 ปีต่อครั้ง / อาจมีโอกาสเกิดแต่นานๆครั้ง</t>
  </si>
  <si>
    <t>5 ปีต่อครั้ง / แทบไม่มีโอกาสเกิด หรือ มีโอกาสเกิดในกรณียกเว้น</t>
  </si>
  <si>
    <t>Risk Matrix</t>
  </si>
  <si>
    <t>Impact</t>
  </si>
  <si>
    <t>Likelihood</t>
  </si>
  <si>
    <t xml:space="preserve"> ตำ่มาก</t>
  </si>
  <si>
    <t>Avoid</t>
  </si>
  <si>
    <t>ความเสี่ยงสูงมาก</t>
  </si>
  <si>
    <t>Transfer</t>
  </si>
  <si>
    <t>Control</t>
  </si>
  <si>
    <t>ความเสี่ยงสูง</t>
  </si>
  <si>
    <t>ความเสี่ยงปานกลาง</t>
  </si>
  <si>
    <t>Accept</t>
  </si>
  <si>
    <t>ความเสี่ยงต่ำ</t>
  </si>
  <si>
    <t>หมายเลขแผน</t>
  </si>
  <si>
    <t>สูตรค้นหาความเสี่ยง</t>
  </si>
  <si>
    <t>ระดับผลกระทบสูงสุด</t>
  </si>
  <si>
    <t>F</t>
  </si>
  <si>
    <t>O</t>
  </si>
  <si>
    <t>R</t>
  </si>
  <si>
    <t>C</t>
  </si>
  <si>
    <t>E</t>
  </si>
  <si>
    <t>Hardware</t>
  </si>
  <si>
    <t>Accepting</t>
  </si>
  <si>
    <t>ธนพงศ์ เอกพรผดุง</t>
  </si>
  <si>
    <t>A</t>
  </si>
  <si>
    <t>1.จัดทำทะเบียนทรัพย์สินสารสนเทศ
2.จัดทำนโยบายสำรวจทรัพย์สินปีละ 1 ครั้ง
3.วางแผนการบริหารจัดการเครื่องสำรองให้เพียงพอ
4.จัดหาโปรแกรมบริหารจัดการทรัพย์สิน เพื่อตรวจสอบทรัพย์สิน</t>
  </si>
  <si>
    <t>1.มีการฝึกอบรมให้ความรู้กับพนักงานใหม่
2.จัดทำคู่มือการตั้งค่าอุปกรณ์</t>
  </si>
  <si>
    <t>Controlling</t>
  </si>
  <si>
    <t>1.ฝึกอบรมทักษะความรู้ ทุก 6 เดือน
2.ทบทวนเอกสารคู่มือการใช้งาน ทุก 1 ปี
3.ทดสอบความรู้
4.ส่งพนักงานฝึกอบรมภายนอก เพื่อเพิ่มความรู้ ความสามารถ (Competency)
5.ตั้งตัวชี้วัด KPI เพื่อประเมินหน่วยงาน</t>
  </si>
  <si>
    <t>1.จัดทำแผนในการทำความสะอาดและตรวจสอบเครื่องอย่างน้อยปีละ 1 ครั้ง
2.จัดเตรียมเครื่องคอมพิวเตอร์และอะไหล่สำรอง เมื่อมีการชำรุดเสียหาย</t>
  </si>
  <si>
    <t>C , A</t>
  </si>
  <si>
    <t>1.นโยบายการเชื่อมต่อเครือข่ายภายนอก
2.มี Firewall กั้นระหว่างการเชื่อมต่อ
3.มีการควบคุมการเชื่อมต่อของผู้ให้บริการภายนอกต้องได้รับอนุญาตจากเจ้าหน้าที่ฝ่าย IT
4.มีการควบคุมและตรวจสอบเครื่องคอมพิวเตอร์ของผู้ให้บริการภายนอกก่อนนำอุปกรณ์มาเชื่อมต่อระบบ Network ภายใน เช่น Antivirus, Full scan,Virus show log scan ต่อเจ้าหน้าที่ IT</t>
  </si>
  <si>
    <t xml:space="preserve">1.นโยบายการเชื่อมต่อเครือข่ายภายนอก
2.มี Firewall กั้นระหว่างการเชื่อมต่อ
3.มีการควบคุมการเชื่อมต่อของผู้ให้บริการภายนอกต้องได้รับอนุญาตจากฝ่าย IT
4.มีการควบคุมและตรวจสอบเครื่องคอมพิวเตอร์ของผู้ให้บริการภายนอกก่อนนำอุปกรณ์มาเชื่อมต่อระบบ Network ภายใน เช่น Antivirus, Full scan,Virus show log scan ต่อเจ้าหน้าที่ IT </t>
  </si>
  <si>
    <t>Network</t>
  </si>
  <si>
    <t>1.ผู้ให้บริการภายนอก
- มีการควบคุมและติดตามเมื่อเข้ามาในพื้นที่ให้บริการ
- มีการบันทึก Log การเข้า-ออก Network Rack โซน
- มีการควบคุมการเข้าออกโดย Access Control
- มีการแจ้งล่วงหน้าก่อนเข้ามาปฏิบัติงาน Network Rack โซน
2.เจ้าหน้าที่ภายใน เฉพาะผู้ได้รับสิทธิหรือผู้ที่ได้รับอนุญาต
- ได้รับอนุญาตจากเจ้าหน้าที่ฝ่าย IT
3.ระบบ CCTV</t>
  </si>
  <si>
    <t>ผู้ไม่มีสิทธิ์สามารถเข้าถึงอุปกรณ์ซึ่งติดตั้งอยู่ใน Rack Network ได้ เนื่องจากขาดการตรวจสอบและทบทวนสิทธิการเข้าถึง</t>
  </si>
  <si>
    <t>ผู้ไม่มีสิทธิ์สามารถเข้าถึงอุปกรณ์ซึ่งติดตั้งอยู่ใน Rack Network ได้ เนื่องจากอุปกรณ์ติดตั้งในตู้ซึ่งไม่มีการล็อค</t>
  </si>
  <si>
    <t>อุปกรณ์เน็ตเวิร์คและค่าการทำงาน ถูกเปลี่ยนแปลงแก้ไขสิทธิ์การเข้าถึงจากผู้ดูแล โดยไม่ได้ดำเนินการตามขั้นตอนที่กำหนดไว้</t>
  </si>
  <si>
    <t>1.มี Firewall กั้นระหว่างการเชื่อมต่อ
2.มีการควบคุมการเชื่อมต่อของผู้ให้บริการภายนอกต้องได้รับอนุญาตจากเจ้าหน้าที่ฝ่าย IT</t>
  </si>
  <si>
    <t>I</t>
  </si>
  <si>
    <t>1.มีระบบ Monitor
2.มี Back up config ทุก 1 เดือน</t>
  </si>
  <si>
    <t>1.มีระบบ Monitor 
2.มี Back up config ทุก 1 เดือน</t>
  </si>
  <si>
    <t>ไม่มี</t>
  </si>
  <si>
    <t>1.กระบวนการความคุมการเปลี่ยนแปลง (Change Management)</t>
  </si>
  <si>
    <t>อุปกรณ์เน็ตเวิร์ค หยุดชะงักใช้งานไม่ได้ ในช่วงระหว่างการบำรุงรักษาหรือปรับปรุง เนื่องจากอุปกรณ์มีเพียงเครื่องเดียว</t>
  </si>
  <si>
    <t>อุปกรณ์เน็ตเวิร์ค หยุดชะงักใช้งานไม่ได้ เนื่องจากความผิดปกติของตัวอุปกรณ์</t>
  </si>
  <si>
    <t>1.ดำเนินการบำรุงรักษาจากผู้ให้บริการภายนอก และผู้เชี่ยวชาญ
2.แจ้งหน่วยงานที่ได้รับผลกระทบทราบและดำเนินการในช่วงระยะเวลาที่ผู้รับบริการได้รับผลกระทบน้อยที่สุด
3.มีการวางแผนการบำรุงรักษาที่แน่นอนตามรอบ MA
4.มีอุปกรณ์สำรอง</t>
  </si>
  <si>
    <t>1.ดำเนินการบำรุงรักษาจากผู้ให้บริการภายนอก และผู้เชี่ยวชาญ
2.แจ้งหน่วยงานที่ได้รับผลกระทบทราบและดำเนินการในช่วงระยะเวลาที่ผู้รับบริการได้รับผลกระทบน้อยที่สุด
3.มีการวางแผนการบำรุงรักษาที่แน่นอนตามรอบ MA
4.มีอุปกรณ์สำรอง"</t>
  </si>
  <si>
    <t>1.ระบบไฟฟ้าและระบบไฟสำรองของอาคาร(ควบคุมโดยฝ่ายอาคาร)
2.ระบบสำรองไฟของฝ่าย IT (Network Rack)
3.การทดสอบไฟฟ้าสำรอง 1 ปีต่อครั้ง</t>
  </si>
  <si>
    <t>อุปกรณ์เน็ตเวิร์ค  ใช้งานไม่ได้ เนื่องจากไฟไหม้</t>
  </si>
  <si>
    <t>1.ระบบอัคคีภัยทั้งบริษัทควบคุมโดยฝ่ายอาคาร
2.มีแผนรองรับสถานการณ์ฉุกเฉินทางอัคคีภัย
3.มีถังดับเพลิงสำหรับกรณีฉุกเฉิน
4.ระบบ Smoke detector และ fire Alarm 
5.CCTV Monitoring</t>
  </si>
  <si>
    <t>RTP-001</t>
  </si>
  <si>
    <t>อุปกรณ์เน็ตเวิร์ค ทำงานล้มเหลว เนื่องจากการควบคุมสภาพแวดล้อมของอุปกรณ์ไม่เหมาะสมตามที่ผู้ผลิตแนะนำ</t>
  </si>
  <si>
    <t>1.มีการจัดเก็บอุปกรณ์ในตู้ Rack ที่เหมาะสม
2.มีระบบ Monitor
3.มีการตรวจสอบอุปกรณ์</t>
  </si>
  <si>
    <t>1.มีระบบ Monitor ระบบ Network
2.วางแผนและซ้อมแผนความไม่ต่อเนื่อง (Business Continuity Management) ทุก 1 ปี</t>
  </si>
  <si>
    <t>Operating system</t>
  </si>
  <si>
    <t>Software</t>
  </si>
  <si>
    <t>Software Package</t>
  </si>
  <si>
    <t>Electronic File</t>
  </si>
  <si>
    <t>Data and Information</t>
  </si>
  <si>
    <t>1.จัดเก็บไว้บน Share Drive
2.มีการกำหนดสิทธิการเข้าถึง</t>
  </si>
  <si>
    <t>IT Staff</t>
  </si>
  <si>
    <t>Personnel</t>
  </si>
  <si>
    <t>ข้อมูลที่พนักงานครอบครอง ข้อมูลถูกเปิดเผยในกรณีที่อุปกรณ์คอมพิวเตอร์สูญหาย เนื่องจากไม่มีการควบคุมการจัดเก็บข้อมูลของพนักงาน</t>
  </si>
  <si>
    <t>พนักงาน เข้าถึงข้อมูลที่สำคัญโดยไม่ได้รับอนุญาต เนื่องจากการจัดการสิทธิการเข้าถึงและการตรวจสอบ ติดตามการใช้งาน</t>
  </si>
  <si>
    <t xml:space="preserve">มีการกำหนดสิทธิและการทบทวนสิทธิ
</t>
  </si>
  <si>
    <t>พนักงาน ทุจริตนำข้อมูลไปเผยแพร่ เปิดเผย จำหน่าย เนื่องจากไม่มีการคัดกรอง ตรวจสอบประวัติ และการจัดการด้านบุคลากรที่มีประสิทธิผล</t>
  </si>
  <si>
    <t>ฝ่ายทรัพยากรบุคคล
1.การตรวจสอบประวัติอาชญากรรมของพนักงาน
2.การลงนามสัญญารักษาความลับ (NDA)
3.กำหนดบทลงโทษ เมื่อกระทำการละเมิดข้อตกลงหรือสัญญา
4.การยกเลิกสิทธิการใช้งาน ในกรณีที่พนักงานลาออก หรือ กระทำผิดรายแรง
5.การคืนทรัพย์สินสารสนเทศ ในกรณีที่พนักงานลาออก หรือ กระทำผิดรายแรง
6.ประกาศข้อตกลงและขั้นตอนการปฏิบัติให้ผู้ปฏิบัติงาน รับทราบและปฏิบัติตาม</t>
  </si>
  <si>
    <t>RTP-002</t>
  </si>
  <si>
    <t>User</t>
  </si>
  <si>
    <t>พนักงานใหม่ไม่สามารถปฏิบัติงานได้ เนื่องจากไม่มีกระบวนการในการถ่ายทอดความรู้ที่มีประสิทธิผล</t>
  </si>
  <si>
    <t>RTP-003</t>
  </si>
  <si>
    <t xml:space="preserve">Room &amp; Location
</t>
  </si>
  <si>
    <t>Facility</t>
  </si>
  <si>
    <t>1.ผู้ให้บริการภายนอก
- มีการควบคุมและติดตามเมื่อเข้ามาในพื้นที่ให้บริการ
- มีการบันทึก Log การเข้า-ออก Network Rack โซน
- มีการควบคุมการเข้าออกโดย Access Control
- มีการแจ้งล่วงหน้าก่อนเข้ามาปฏิบัติงาน Network Rack โซน
2.เจ้าหน้าที่ภายใน เฉพาะผู้ได้รับสิทธิหรือผู้ที่ได้รับอนุญาต
- ได้รับอนุญาตจากเจ้าหน้าที่ฝ่าย IT
3.ระบบ CCTV บันทึกเหตุการณ์</t>
  </si>
  <si>
    <t xml:space="preserve">พื้นที่ไม่สามารถใช้งานได้ หรือไม่ปลอดภัย เนื่องจากขาดการบำรุงรักษาที่ถูกต้อง หรือไม่มีการบำรุงรักษา
</t>
  </si>
  <si>
    <t>พื้นที่ไม่พร้อมใช้งาน หรือไม่ปลอดภัย เนื่องจากไม่ได้ออกแบบให้สามารถป้องกันความเสียหายจากภัยพิบัติ ธรรมชาติ หรือการก่อการร้าย เช่น ไม่มีการวางระบบป้องกันอัคคีภัย เป็นต้น</t>
  </si>
  <si>
    <t>พื้นที่ Network Rack โซน ไม่เหมาะสมใช้งาน หรือไม่ปลอดภัย เนื่องจากไม่ได้ออกแบบให้สามารถป้องกันความเสียหาย</t>
  </si>
  <si>
    <t>1.มีแผนการอกแบบและวางแผนปรับปรุง Network Rack โซน</t>
  </si>
  <si>
    <t>1.วางแผน ออกแบบ และปรับปรุงห้อง Network Rack และอุปกรณ์สนับสนุนระบบ
2.ทดสอบระบบสนับสนุนอุปกรณ์ (Supporting Utility) และติดตามผลการออกแบบปรับปรุง Network Rack โซน และอุปกรณ์สนับสนุนระบบ</t>
  </si>
  <si>
    <t>RTP-004</t>
  </si>
  <si>
    <t xml:space="preserve">Internal Service
</t>
  </si>
  <si>
    <t>Service</t>
  </si>
  <si>
    <t>งานสารสนเทศไม่สามารถให้บริการได้ตามที่ตกลง เนื่องจากเจ้าหน้าที่ผู้เข้าให้บริการไม่มีความรู้ ความชำนาญที่เพียงพอ</t>
  </si>
  <si>
    <t xml:space="preserve">1.ให้ความรู้พนักงานใหม่
2.จัดทำเอกสารวิธีการปฏิบัติงาน (WI)
</t>
  </si>
  <si>
    <t>1.มีการกำหนดระดับการให้บริการ (Service Level Agreement : SLA)
2.มีการกำหนด KPI</t>
  </si>
  <si>
    <t>RTP-005</t>
  </si>
  <si>
    <t>งานสารสนเทศไม่สามารถให้บริการด้านอุปกรณ์ได้ตามที่ตกลง เนื่องจากเจ้าหน้าที่ผู้เข้าให้บริการไม่มีความรู้ ความชำนาญที่เพียงพอ</t>
  </si>
  <si>
    <t>User หรือ ผู้ไม่มีสิทธิ์อาจเข้าถึงผ่านทางเครือข่ายได้สำเร็จ เนื่องจากไม่มีการป้องกันเครือข่ายที่เหมาะสม</t>
  </si>
  <si>
    <t xml:space="preserve">OutSource Service
</t>
  </si>
  <si>
    <t>1.ทำสัญญารักษาความลับ (NDA) กับผู้ให้บริการภายนอก</t>
  </si>
  <si>
    <t>1.กำหนดนโยบายความปลอดภัยสำหรับผู้ให้บริการภายนอก
2.กำหนดให้มีการลงนามสัญญารักษาความลับ (NDA) กับผู้ให้บริการภายนอก
3.กำหนดบทลงโทษ เมื่อกระทำการละเมิดข้อตกลงหรือสัญญา
4.อบรมเรื่องความมั่นคงปลอดภัยสารสนเทศให้กับผู้ให้บริการภายนอก เพื่อสร้างความตระหนัก</t>
  </si>
  <si>
    <t>RTP-006</t>
  </si>
  <si>
    <t>การละเมิดสัญญา หรือข้อกำหนดที่ตกลงไว้ของผู้ให้บริการภายนอก เกิดความเสียหายทางธุรกิจ เนื่องจากไม่มีการควบคุมการทำงาน และทบทวนการให้บริการของผู้ให้บริการภายนอก</t>
  </si>
  <si>
    <t>RTP-007</t>
  </si>
  <si>
    <t>1.กำหนดให้ผู้ให้บริการภายนอกแจ้งรายชื่อ และหลักฐานการพิสูจน์ตัวตน เช่น บัตรประจำตัวประชาชน NDA เป็นต้น ก่อนเข้ามาปฏิบัติงานล่วงหน้า ล่วงหน้าอย่างน้อย 1 วัน
2.กรณีมีการเปลี่ยนผู้ปฏิบัติงาน ผู้ให้บริการภายนอกต้องแจ้งผู้ปฏิบัติงานแทน ก่อนเข้าปฏิบัติงาน ล่วงหน้าอย่างน้อย 1 วัน เพื่อตรวจสอบ
3.กำหนดตัวชี้วัดการบริการ (KPI) เพื่อประเมินการให้บริการของผู้ให้บริการภายนอก และนำผลไปพิจารณาการว่าจ้างต่อในครั้งต่อไป</t>
  </si>
  <si>
    <t>ผุ้ให้บริการภายนอกปฏิบัติงานไม่ตรงตามสัญญาหรือข้อตกลงที่ตกลงไว้ ทำให้ได้รับการบริการที่ไม่ครบถ้วนตามสัญญาหรือข้อตกลง เนื่องจากไม่มีการติดตามหรือทบทวนการให้บริการของผู้ให้บริการภายนอก</t>
  </si>
  <si>
    <t>Freeware</t>
  </si>
  <si>
    <t>เกิดความไม่พึงพอใจของผู้ใช้งาน เนื่องจากเป็นโปรแกรมใหม่ ผู้ใช้งานต้องเรียนรู้วิธีใช้งาน และไม่คุ้นเคยกับโปรแกรมทำให้เกิดความความยุ่งยากในการใช้งาน</t>
  </si>
  <si>
    <t>โปรแกรมอาจมีปัญหาและไม่ทราบวิธีแก้ไข ทำให้ใช้งานไม่ได้ เนื่องจากไม่มีผู้เชี่ยวชาญ และเอกสารประกอบการใช้งาน</t>
  </si>
  <si>
    <t>1.จัดทำคู่มือการใช้งานสำหรับโปรแกรมต่างๆ
2.อบรมขั้นตอนการใช้งานให้กับพนักงาน</t>
  </si>
  <si>
    <t xml:space="preserve">1.มีการตรวจสอบการ Update Virus โดยเจ้าหน้าที่ฝ่าย IT
2.นำ Event Log มาทบทวนและวิเคราะห์หาสาเหตุสัปดาห์ละ 1 ครั้ง
</t>
  </si>
  <si>
    <t xml:space="preserve">ธราเทพ นวลปลอด </t>
  </si>
  <si>
    <t>โปรแกรมใช้ทรัพยากรของเครื่องคอมพิวเตอร์มากเกินความจำเป็น เนื่องจากเมื่อทำการติดตั้งโปรแกรมที่เป็น Freeware จะมีโปรแกรมอื่นๆแทรกมาด้วย และไม่ได้ใช้ประโยชน์จากโปรแกรมเหล่านั้น</t>
  </si>
  <si>
    <t>1.ระมัดระวังในการติดตั้งโปรแกรม
2.ตรวจสอบหลังจากติดตั้งโปรแกรม</t>
  </si>
  <si>
    <t xml:space="preserve">1. กำหนดสิทธิในการติดตั้งบน laptop
2. มีกำหนด เว็บไซต์ที่สามารถ download freeware ได้ปลอดภัย 
</t>
  </si>
  <si>
    <t>OutSource Service</t>
  </si>
  <si>
    <t>เครื่อง Cloud VM ติดไวรัส ทำให้ข้อมูลรั่วไหล ข้อมูลถูกทำลาย และใช้งานโปรแกรม ไม่ได้</t>
  </si>
  <si>
    <t>1. ลบ VM
2. กู้คืนข้อมูลจาก backup เพื่อสร้าง VM</t>
  </si>
  <si>
    <t>1.มีการตรวจสอบการ Update Virus โดยผู้บังคบบัญชา
 2.นำ Event Log มาทบทวนและวิเคราะห์หาสาเหตุสัปดาห์ละ 1 ครั้ง</t>
  </si>
  <si>
    <t>เครื่อง Cloud VM (เชื่อมต่อเครือข่ายภายนอก) ถูกครอบครองจากผู้ไม่ประสงค์ดี เนื่องจาก ไม่มีการป้องกันการเชื่อมต่อเครือข่ายสาธารณะ เช่น ใช้ Firewall ป้องกัน</t>
  </si>
  <si>
    <t xml:space="preserve">1. กำหนด DDos protection policy 
2. กำหนดสิทธิการเข้าถึง </t>
  </si>
  <si>
    <t>เครื่อง Cloud VM ถูกเข้าถึงโดยไม่ได้รับอนุญาต เนื่องจากไม่มีการควบคุมรหัสผ่านเข้าเครื่อง และการตั้งรหัสผ่าน ที่คาดเดาได้โดยง่าย</t>
  </si>
  <si>
    <t xml:space="preserve">1. กำหนดรหัสต้องมีความยาว, ตัวอักษรเล็กเเละใหญ่
2. กำหนดสิทธิเเละ role ของ user account </t>
  </si>
  <si>
    <t>1.กำหนดนโยบาย single-log on
 2.สร้าง User single sing on
 3.กำหนดนโยบายการจัดการรหัสผ่าน</t>
  </si>
  <si>
    <t>เครื่อง Cloud VM ใช้งานไม่ได้ เนื่องจากถูกเจาะระบบ (Hack) โดย Hacker หรือผู้ไม่ประสงค์ดี</t>
  </si>
  <si>
    <t xml:space="preserve">
1. มีระบบ Antivirus ตรวจจับความผิดปกติ
2.นโยบายการเชื่อมต่อเครือข่ายภายนอก
3.มี Firewall กั้นระหว่างการเชื่อมต่อ
 </t>
  </si>
  <si>
    <t>1. นำ Event Log มาทบทวนและวิเคราะห์หาสาเหตุ
2. กำหนด firewall ให้เฉพาะ VPN IP address ขององค์กร ที่สามารถเข้าถึง Cloud VM</t>
  </si>
  <si>
    <t>Cloud SQL ชำรุด ไม่สามารถกู้ข้อมูลได้ เนื่องจากไม่มีการสำรองข้อมูลที่เหมาะสม</t>
  </si>
  <si>
    <t>1.มีระบบ Back up ข้อมูล ทุกวัน
2.มีการกู้คืนข้อมูลทุกวันโดย เจ้าหน้าที่ 
3.จัดเก็บไว้บน GCP cloud
4.มีระบบ Active-Standby</t>
  </si>
  <si>
    <t>1.กำหนดสิทธิการเข้าถึง Share Drive
 2.มีการ Backup ทุกๆ 15 วันหรือเมื่อมีการเปลี่ยนแปลง
 3.มีการ ฺBackup ไว้สถานที่ปลอดภัยภายนอก (Off-site)</t>
  </si>
  <si>
    <t>งานสารสนเทศไม่สามารถให้บริการตามที่กำหนด เนื่องจากไม่มีข้อตกลงระดับการให้บริการ (Service Level Agreement : SLA) ที่ชัดเจน หรือไม่มีแผนการให้บริการอย่างต่อเนื่อง</t>
  </si>
  <si>
    <t>1มีการกำหนดระดับการให้บริการ (Service Level Agreement : SLA)
2.มีการกำหนด KPI</t>
  </si>
  <si>
    <t>ข้อมูลที่เป็นความลับถูกนำไปเผยแพร่ เนื่องจากไม่มีการทำสัญญารักษาความลับ (NDA) กับผู้ให้บริการภายนอก</t>
  </si>
  <si>
    <t>1.ระบุเรื่องความมั่นคงปลอดภัยสารสนเทศในร่างขอบเขตงาน (TOR) หรือสัญญาว่าจ้าง เช่น ผู้ให้บริการภายนอก จะไม่นำข้อมูลที่สำคัญไปเปิดเผย เผยแพร่ จำหน่าย เป็นต้น
 2.กำหนดให้มีการลงนามสัญญารักษาความลับ (NDA) กับผู้ให้บริการภายนอก
 3.กำหนดบทลงโทษ เมื่อกระทำการละเมิดข้อตกลงหรือสัญญา</t>
  </si>
  <si>
    <t>การละเมิดกฎ นโยบายควบคุมความปลอดภัยสารสนเทศของผู้ให้บริการภายนอก เกิดความเสียหายทางธุรกิจ เนื่องจากไม่มีการอบรมสร้างความตระหนักในกฎ ข้อบังคับขององค์กร</t>
  </si>
  <si>
    <t>1.ระบุเรื่องความมั่นคงปลอดภัยสารสนเทศในร่างขอบเขตงาน (TOR) หรือสัญญาว่าจ้าง เช่น ผู้ให้บริการภายนอก จะไม่นำข้อมูลที่สำคัญไปเปิดเผย เผยแพร่ จำหน่าย เป็นต้น
 2.กำหนดให้มีการลงนามสัญญารักษาความลับ (NDA) กับผู้ให้บริการภายนอก
 3.กำหนดบทลงโทษ เมื่อกระทำการละเมิดข้อตกลงหรือสัญญา
 4.อบรมเรื่องความมั่นคงปลอดภัยสารสนเทศให้กับผู้ให้บริการภายนอก เพื่อสร้างความตระหนัก</t>
  </si>
  <si>
    <t>พนักงานที่พ้นสภาพนำ Source Code จาก Bitbucket ไปเผยแพร่ เปิดเผย จำหน่าย</t>
  </si>
  <si>
    <t>1. การลงนามสัญญารักษาความลับ (NDA) ตามฝ่ายทรัพยากรบุคคล
2. กำหนดบทลงโทษ เมื่อกระทำการละเมิดข้อตกลงหรือสัญญา
3. การยกเลิกสิทธิการใช้งาน ในกรณีที่พนักงานลาออก</t>
  </si>
  <si>
    <t>วินน์ แสนสุข</t>
  </si>
  <si>
    <t>พนักงานได้รับสิทธิ์เข้าถึง Source Code เกินความจำเป็น</t>
  </si>
  <si>
    <t>กำหนดกลุ่มของสิทธิ์ตามฟังก์ชันการเข้าถึงข้อมูล Source Code</t>
  </si>
  <si>
    <t>1. กำหนดสิทธิตามฟังก์ชัน
2. ทบทวนสิทธิ์เป็นประจำ</t>
  </si>
  <si>
    <t>การทดสอบระบบที่ไม่ครอบคลุมครบถ้วนในทุก Test Case และไม่เป็นมาตรฐาน</t>
  </si>
  <si>
    <t>1. วางแผนการทดสอบ การออกแบบกรณีทดสอบ การลงมือทดสอบ และการรวบรวมและประเมินผลข้อมูลผลลัพธ์</t>
  </si>
  <si>
    <t>เกิด Bugs หรือ Defects</t>
  </si>
  <si>
    <t>สร้าง Task ระบุ Bugs หรือ Defects ที่เกิดขึ้น และแจ้งไปยังผู้เกี่ยวข้อง</t>
  </si>
  <si>
    <t>1. นำ Bugs หรือ Defects ที่เกิดขึ้นมาทบทวนและวิเคราะห์หาสาเหตุ
2. จัดทำตัวชี้วัด (KPI) เพื่อประเมินการทำงาน</t>
  </si>
  <si>
    <t>ลำดับ
(RTP No.)</t>
  </si>
  <si>
    <t>Task No.</t>
  </si>
  <si>
    <t>Task Status</t>
  </si>
  <si>
    <t>สถานะ
(Status)</t>
  </si>
  <si>
    <t>Progress</t>
  </si>
  <si>
    <t>Remark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</si>
  <si>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</si>
  <si>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</si>
  <si>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</si>
  <si>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</si>
  <si>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</si>
  <si>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</si>
  <si>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</si>
  <si>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</si>
  <si>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</si>
  <si>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</si>
  <si>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</si>
  <si>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</si>
  <si>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การป้องกันการเข้าถึงทางกายภาพ
</t>
  </si>
  <si>
    <t>A.7.6</t>
  </si>
  <si>
    <t>Working in secure areas 
การปฏิบัติงานในบริเวณที่ต้องรักษาความมั่นคงปลอดภัย</t>
  </si>
  <si>
    <t>Complete</t>
  </si>
  <si>
    <t>ซ้อมแผนไฟไหม้ปีละ 1 ครั้ง ที่จัดขึ้นโดยฝ่ายอาคาร The Trendy Office</t>
  </si>
  <si>
    <t>การสร้างความมั่นคงปลอดภัยก่อนการจ้างงาน</t>
  </si>
  <si>
    <t>A.6.1</t>
  </si>
  <si>
    <t>มีมาตรการในการ Screening พนักงาน ลูกจ้าง รวมถึงอาสาสมัคร ที่จะเข้ามาปฏิบัติงานและเข้าถึงสารสนเทศขององค์กร เช่น การตรวจสอบคุณสมบัติ การตรวจสอบประวัติการศึกษา การตรวจสอบประวัติอาชญากรรม</t>
  </si>
  <si>
    <t xml:space="preserve"> การตรวจสอบประวัติอาชญากรรมของพนักงาน</t>
  </si>
  <si>
    <t>In Progress</t>
  </si>
  <si>
    <t>การลงนามสัญญารักษาความลับ (NDA)</t>
  </si>
  <si>
    <t>กำหนดบทลงโทษ เมื่อกระทำการละเมิดข้อตกลงหรือสัญญา</t>
  </si>
  <si>
    <t>ประกาศข้อตกลงและขั้นตอนการปฏิบัติให้ผู้ปฏิบัติงาน รับทราบและปฏิบัติตาม</t>
  </si>
  <si>
    <t>1. มีระบบ Monitor 
2. วางแผนและซ้อมแผนความไม่ต่อเนื่อง (Business Continuity Management) ทุก 1 ปี</t>
  </si>
  <si>
    <t>ความต่อเนื่องด้านความมั่นคงปลอดภัยสารสนเทศ</t>
  </si>
  <si>
    <t>A.5.30</t>
  </si>
  <si>
    <t>Business Continuity Management Procedure : BCP แนวปฏิบัติการบริหารจัดการความต่อเนื่องทางธุรกิจ</t>
  </si>
  <si>
    <t>จัดทำแผน และทดสอบแผนรองรับความไม่ต่อเนื่อง (Business Continuity Management) และประชุมสรุปผลการทดสอบ</t>
  </si>
  <si>
    <t>1. วางแผนและออกแบบปรับปรุงห้อง Network Rack และอุปกรณ์สนับสนุนระบบ
2. ควบคุมการติดตั้ง ทดสอบระบบและการใช้งานจริงตามข้อกำหนดที่ตกลงไว้งานที่กำหนด</t>
  </si>
  <si>
    <t>บริเวณที่ต้องมีการรักษาความมั่นคงปลอดภัย (Secure areas)</t>
  </si>
  <si>
    <t>A.7.8</t>
  </si>
  <si>
    <t>อุปกรณ์ Network ที่มีความสำคัญมีการจัดเก็บไว้ในตู้แร็คที่มีความปลอดภัย ตู้แร็คถูกล็อคเมื่อไม่มีการใช้งาน</t>
  </si>
  <si>
    <t>วางแผน ออกแบบ และปรับปรุงห้อง Network Rack และอุปกรณ์สนับสนุนระบบ</t>
  </si>
  <si>
    <t>ทดสอบระบบสนับสนุนอุปกรณ์ (Supporting Utility) และติดตามผลการออกแบบปรับปรุง Network Rack โซน และอุปกรณ์สนับสนุนระบบ</t>
  </si>
  <si>
    <t>1. มีการกำหนดระดับการให้บริการ (Service Level Agreement : SLA)
2. มีการกำหนด KPI</t>
  </si>
  <si>
    <t xml:space="preserve">การสร้างความตระหนัก การให้ความรู้ และการอบรมด้านความมั่นคงปลอดภัยให้แก่พนักงาน </t>
  </si>
  <si>
    <t>A.6.3</t>
  </si>
  <si>
    <t xml:space="preserve">องค์กรมีการจัดกิจกรรมเพื่อส่งเสริมให้พนักงานมีความตระหนักในเรื่องของการรักษาความมั่นคงปลอดภัยสารสนเทศ </t>
  </si>
  <si>
    <t>มีการกำหนดระดับการให้บริการ (Service Level Agreement : SLA)</t>
  </si>
  <si>
    <t>มีการกำหนด KPI</t>
  </si>
  <si>
    <t xml:space="preserve">การระบุความมั่นคงปลอดภัยในข้อตกลงการให้บริการของผู้ให้บริการภายนอก </t>
  </si>
  <si>
    <t>A.5.20</t>
  </si>
  <si>
    <t>การจ้างงานมีการระบุถึงเงื่อนไขในการให้บริการ ได้แก่ สัญญาจ้างงาน และสัญญาตกลงการไม่เปิดเผยข้อมูล (Non - Disclosure Agreement: NDA) ซึ่งระบุถึงการไม่นำความลับขององค์กรไปเปิดเผย โดยผู้ให้บริการภายนอกจะต้องลงนามก่อนการจ้างงาน</t>
  </si>
  <si>
    <t>กำหนดนโยบายความปลอดภัยสำหรับผู้ให้บริการภายนอก</t>
  </si>
  <si>
    <t>อบรมเรื่องความมั่นคงปลอดภัยสารสนเทศให้กับผู้ให้บริการภายนอก เพื่อสร้างความตระหนัก</t>
  </si>
  <si>
    <t>1. ตรวจสอบและทบทวนสัญญาจ้างของผู้ให้บริการภายนอก
2. จัดทำ List การ MA ของแต่ละบริษัท เพื่อติดตามและตรวจสอบการให้บริการ
3. กำหนดให้ผู้ให้บริการภายนอกแจ้งรายชื่อ และหลักฐานการพิสูจน์ตัวตน เช่น บัตรประจำตัวประชาชน NDA เป็นต้น ก่อนเข้ามาปฏิบัติงานล่วงหน้า ล่วงหน้าอย่างน้อย 1 วัน
4. กรณีมีการเปลี่ยนผู้ปฏิบัติงาน ผู้ให้บริการภายนอกต้องแจ้งผู้ปฏิบัติงานแทน ก่อนเข้าปฏิบัติงาน ล่วงหน้าอย่างน้อย 1 วัน เพื่อตรวจสอบ
5. กำหนดตัวชี้วัดการบริการ (KPI) เพื่อประเมินการให้บริการของผู้ให้บริการภายนอก และนำผลไปพิจารณาการว่าจ้างต่อในครั้งต่อไป</t>
  </si>
  <si>
    <t xml:space="preserve">การติดตามและทบทวนบริการของผู้ให้บริการภายนอก </t>
  </si>
  <si>
    <t>A.5.22</t>
  </si>
  <si>
    <t>มีการติดตามและทบทวนการให้บริการของผู้ให้บริการภายนอก เช่น รายงานการดำเนินงานและข้อผิดปกติที่พบ หรือ เอกสารการประเมินผลการบริการ เป็นต้น เพื่อให้มั่นใจว่าได้มีการติดตามการปฏิบัติงานของผู้ให้บริการภายนอกว่าเป็นไปตามข้อตกลงหรือสัญญา รวมถึงมีการประเมินการดำเนินงานของผู้ให้บริการภายนอก และหารือถึงแนวทางพัฒนาการดำเนินงานให้ดียิ่งขึ้น</t>
  </si>
  <si>
    <t>จัดทำตัวชี้วัดการบริการ (KPI) เพื่อประเมินการให้บริการของผู้ให้บริการภายนอก</t>
  </si>
  <si>
    <t>Type of Asset</t>
  </si>
  <si>
    <t>การจำแนกประเภททรัพย์สิน</t>
  </si>
  <si>
    <t>ตัวอย่าง</t>
  </si>
  <si>
    <t>ฮาร์ดแวร์ (Hardware)</t>
  </si>
  <si>
    <t>- อุปกรณ์ประมวลหลัก
- อุปกรณ์ต่อพ่วงระบบคอมพิวเตอร์
- อุปกรณ์สนับสนุน</t>
  </si>
  <si>
    <t>ซอฟต์แวร์ (Software)</t>
  </si>
  <si>
    <t>- ระบบปฏิบัติการ
- ซอฟต์แวร์สนับสนุนที่ใช้ในการบริหารจัดการ
- ซอฟต์แวร์สำเร็จรูป
- ซอฟต์แวร์สนับสนุนงานทางธุรกิจ
- Free Software</t>
  </si>
  <si>
    <t>- Microsoft Windows
- MacOS
- Google Workspace
- Microsoft Office
- Jamf Pro
- AnyDesk
- Slack
- Jira Software
- Express</t>
  </si>
  <si>
    <t>ข้อมูลและสารสนเทศ (Data and Information)</t>
  </si>
  <si>
    <t>- ข้อมูลรูปแบบกระดาษ
- ข้อมูลรูปแบบอิเล็กทรอนิกส์</t>
  </si>
  <si>
    <t>- ข้อมูลบัญชีการเงิน
- ข้อมูลบุคลากร
- Network Diagram
- ข้อมูลการตั้งค่าในระบบ
- ข้อมูลสารสนเทศ
- สัญญารักษาความลับ
- สัญญาจ้างงาน
- สัญญาจ้างเหมาบริการ</t>
  </si>
  <si>
    <t>เครือข่าย (Network)</t>
  </si>
  <si>
    <t>- อุปกรณ์เครือข่าย
- สื่อสัญญาณ
- เครือข่ายเชื่อมต่อการสื่อสาร</t>
  </si>
  <si>
    <t>- Network switch
- Network Controller
- Firewall
- Access Point</t>
  </si>
  <si>
    <t>บุคลากร (Personnel)</t>
  </si>
  <si>
    <t>- Assistant IT Support Manager
- IT Support</t>
  </si>
  <si>
    <t>- ผู้ดูแลระบบ (Assistant IT Support Manager)
- เจ้าหน้าที่ดูแลระบบงาน (IT Support)
- User</t>
  </si>
  <si>
    <t>อาคาร สถานที่ (Facility)</t>
  </si>
  <si>
    <t>- อาคาร สถานที่ตั้ง
- ห้องหรือสถานที่ปฏิบัติงาน</t>
  </si>
  <si>
    <t>- Network Rack
- IT โซน
- ห้องประชุม</t>
  </si>
  <si>
    <t>บริการ (Service)</t>
  </si>
  <si>
    <t>- บริการที่สนับสนุนการปฏิบัติงานภายในบริษัทฯ
- บริการที่ได้รับจากผู้ให้บริการภายนอกบริษัทฯ</t>
  </si>
  <si>
    <t>- ระบบคลาวด์ (Cloud Service)
- บริการแก้ไขปัญหาระบบ
- บริการดูแลระบบ</t>
  </si>
  <si>
    <t>No.</t>
  </si>
  <si>
    <t>Group of Asset</t>
  </si>
  <si>
    <t>Notebook</t>
  </si>
  <si>
    <t xml:space="preserve">NAS </t>
  </si>
  <si>
    <t>Supporting Utility</t>
  </si>
  <si>
    <t>UPS</t>
  </si>
  <si>
    <t>CCTV</t>
  </si>
  <si>
    <t>Fire System</t>
  </si>
  <si>
    <t>Air condition System</t>
  </si>
  <si>
    <t>Operating System</t>
  </si>
  <si>
    <t>MacOS</t>
  </si>
  <si>
    <t>Windows 10</t>
  </si>
  <si>
    <t>Business Application</t>
  </si>
  <si>
    <t>Express</t>
  </si>
  <si>
    <t>Google Workspace</t>
  </si>
  <si>
    <t>Microsoft Office 365</t>
  </si>
  <si>
    <t>Supporting Software</t>
  </si>
  <si>
    <t>Anydesk</t>
  </si>
  <si>
    <t>Visual Studio Code</t>
  </si>
  <si>
    <t>Microsoft Remote Desktop</t>
  </si>
  <si>
    <t>Paper Document</t>
  </si>
  <si>
    <t>ข้อมูลบัญชีการเงิน</t>
  </si>
  <si>
    <t>สัญญารักษาความลับ</t>
  </si>
  <si>
    <t>สัญญาจ้างงาน</t>
  </si>
  <si>
    <t>ข้อมูลบุคลากร</t>
  </si>
  <si>
    <t>สัญญาจ้างเหมาบริการ</t>
  </si>
  <si>
    <t>เอกสารประกอบการ Training ระบบ TigerSoft</t>
  </si>
  <si>
    <t>ข้อมูลการตั้งค่าในระบบ</t>
  </si>
  <si>
    <t xml:space="preserve">Network Diagram </t>
  </si>
  <si>
    <t>Work instruction สำหรับฝ่ายสารสนเทศ</t>
  </si>
  <si>
    <t>Source Code</t>
  </si>
  <si>
    <t>Test Case</t>
  </si>
  <si>
    <t>Bugs / Defects</t>
  </si>
  <si>
    <t>Network Device</t>
  </si>
  <si>
    <t>Assistant IT Support Manager</t>
  </si>
  <si>
    <t>IT Support</t>
  </si>
  <si>
    <t>พนักงานภายในบริษัทฯ</t>
  </si>
  <si>
    <t>Room &amp; Location</t>
  </si>
  <si>
    <t>Network Rack โซน</t>
  </si>
  <si>
    <t>IT โซน</t>
  </si>
  <si>
    <t>ห้องประชุม</t>
  </si>
  <si>
    <t>Internal Service</t>
  </si>
  <si>
    <t>Jira Service Management (IT Help Center)</t>
  </si>
  <si>
    <t>Cloud service</t>
  </si>
  <si>
    <t>COUNTA of ทางเลือกการตอบสนองต่อความเสี่ยง (Risk Response Option)</t>
  </si>
  <si>
    <t>ทางเลือกการตอบสนองต่อความเสี่ยง (Risk Response Option)</t>
  </si>
  <si>
    <t>ประเภททรัพย์สิน (Type)</t>
  </si>
  <si>
    <t>Grand Total</t>
  </si>
  <si>
    <t>C,I,A</t>
  </si>
  <si>
    <t>ให้ปฏิบัติตาม XXX-QP-IT-003 Working in Secure Area (แนวปฏิบัติเกี่ยวกับการปฏิบัติงานในพื้นที่ที่ต้องรักษาความมั่นคงปลอดภัย )</t>
  </si>
  <si>
    <t>ให้บันทึกตาม XXX-FM-IT-031 แบบฟอร์มบันทึกการบริการของผู้ให้บริการภายนอก</t>
  </si>
  <si>
    <t>จัดทำขั้นตอนการเข้าปฏิบัติในพื้นที่ ที่รักษาความมั่นคงปลอดภัย XXX-QP-IT-003 : การปฏิบัติงานในพื้นที่ที่ต้องรักษาความมั่นคงปลอดภัย</t>
  </si>
  <si>
    <t>NO</t>
  </si>
  <si>
    <t>การจัดระดับความเสี่ยง (Risk Degree)</t>
  </si>
  <si>
    <t>ลำดับ (No.)</t>
  </si>
  <si>
    <t>กลุ่มของทรัพย์สิน (Group of asset)</t>
  </si>
  <si>
    <t>C I A
C : ความลับ
I : ความถูกต้อง
A : ความพร้อมใช้</t>
  </si>
  <si>
    <t>เหตุการณ์ความเสี่ยง
(Risk Scenario)</t>
  </si>
  <si>
    <t>มาตรการที่ใช้ในปัจจุบัน
(Existing Control)</t>
  </si>
  <si>
    <t>ความเสี่ยงปัจจุบัน
(Current Risk)</t>
  </si>
  <si>
    <t>ระดับความเสี่ยง
(Risk level)</t>
  </si>
  <si>
    <t>มาตรการควบคุมที่เลือก
(Selected control)</t>
  </si>
  <si>
    <t>แนวทางการตอบสนองต่อความเสี่ยง
(Risk Response Solution)</t>
  </si>
  <si>
    <t>ความเสี่ยงที่คาดว่าจะเหลือ
(Residual Risk)</t>
  </si>
  <si>
    <t>ผู้รับผิดชอบความเสี่ยง
(Risk Owner)</t>
  </si>
  <si>
    <t>โอกาสเกิด
(Likelihood)</t>
  </si>
  <si>
    <t>1.นโยบายไม่ให้นำอุปกรณ์สื่อบันทึกข้อมูลแบบพกพามาเชื่อมต่อ
2.ติดตั้ง Jamf Pro มี Policy Device control
3.ติดตั้งโปรแกรม Antivirus ที่มี Auto Update
4.</t>
  </si>
  <si>
    <t>ผู้ไม่มีสิทธิ สามารถเข้าถึงอุปกรณ์ซึ่งติดตั้งอยู่ใน Rack Network ได้ เนื่องจากขาดการตรวจสอบและทบทวนสิทธิ์ได้ เนื่องจากไม่มีการจำกัดและควบคุมสิทธิ์การเข้า-ออก</t>
  </si>
  <si>
    <t>1.ผู้ให้บริการภายนอก
- แจ้งชื่อผู้เข้าปฏิบัติงานในพื้นที่ ล่วงหน้า1 วัน ก่อนเข้าปฏิบัติงาน
- พิสูจน์ตัวตนของบุคคล เช่น บัตรประจำตัวประชาชน
2.แบ่งพื้นที่ที่รักษาความมั่นคงปลอดภัย
3.ควบคุมการเข้า-ออกพื้นที่
4.กำหนดผู้มีสิทธิการเข้าถึงพื้นที่ที่รักษาความมั่นคงปลอดภัย (Zone A)
5.ทบทวนผู้มีสิทธิการเข้าถึงพื้นที่ที่รักษาความมั่นคงปลอดภัย (Zone A) ปีละ 1 ครั้ง
6.จัดพื้นที่สำหรับรับ - ส่งของ (Loading Area) ก่อนนำอุปกรณ์หรือสิ่งของเข้าพื้นที่</t>
  </si>
  <si>
    <t>ผู้ไม่มีสิทธิ์อาจสามารถเข้าถึงอุปกรณ์ได้เนื่องจากการเบิก/เก็บ/ใช้ กุญแจที่ใช้ล็อคตู้อุปกรณ์ไม่มีวิธีการควบคุมและตรวจสอบ</t>
  </si>
  <si>
    <t>1.มีการบันทึกยืม - คืนกุญแจ
2.มีผู้รับผิดชอบควบคุม จัดเก็บกุญแจ
3.จัดเก็บกุญแจในพื้นที่ที่ปลอดภัย
4.ควบคุมและติดตามผู้ให้บริการภายนอกเมื่อเข้ามาปฏิบัติงาน</t>
  </si>
  <si>
    <t>1.ผู้ดูแลผ่านการฝึกอบรมการตั้งค่าอุปกรณ์เน็ตเวิร์คจากผู้ให้บริการภายนอก
2.การตั้งค่าเน็ตเวิร์คสามารถตั้งค่าได้จากผู้เชี่ยวชาญ
3.มีการ BackUp Config
4.เจ้าหน้า IT Support สามารถแก้ไขเบื้องต้นได้ตามที่ผู้ให้บริการภายนอกกำหนดได้เท่านั้น เช่น Port Security, Change port Vlan</t>
  </si>
  <si>
    <t>โดนเจาะระบบ (Hacking) โดย Hacker หรือผู้ไม่ประสงค์ดี เนื่องจากไม่มีการควบคุมการเชื่อมต่อกับภายนอก (Public network connection)</t>
  </si>
  <si>
    <t>อุปกรณ์เครือข่าย ทำงานผิดปกติ (Malfunction) เนื่องจากไม่มีการบำรุงดูแลรักษา</t>
  </si>
  <si>
    <t>อุปกรณ์เครือข่าย ทำงานผิดพลาด เนื่องจากผู้ดูแลระบบทำการตั้งค่า/จัดการ ไม่มีความชำนาญและขาดเอกสารวิธีการปฏิบัติงาน (Work instruction - WI)</t>
  </si>
  <si>
    <t>ผู้ดูแลระบบ (Administrator) ทำการแก้ไขค่าการทำงาน (Conguration) โดยไม่ได้รับอนุญาติ ทำให้อุปกรณ์ Network ทำงานผิดปกติ เนื่องจากไม่มีกระบวนการความคุมการเปลี่ยนแปลง (Change Management)</t>
  </si>
  <si>
    <t>ไม่มีการ Labeling ที่สาย UTP ทำให้เชื่อมต่อ Network ผิดพลาด</t>
  </si>
  <si>
    <t>1.จัดการติด Label ที่สาย UTP</t>
  </si>
  <si>
    <t>Network เกิดความไม่พร้อมใช้ เนื่องจากไม่มีการวางแผนและซ้อมแผนความไม่ต่อเนื่อง (Business Continuity Management)</t>
  </si>
  <si>
    <t>ซอฟต์แวร์ไม่สามารถใช้งาน เนื่องจากไม่มีการติดตามและ Upgrade Version ที่เหมาะสม</t>
  </si>
  <si>
    <t>1.มีการทดสอบ Software Version ล่าสุดว่ามีผลกระทบต่อระบบการใช้งานก่อนนำมาใช้งานจริง</t>
  </si>
  <si>
    <t>ผู้ไม่มีสิทธิสามารถติดตั้งซอฟต์แวร์สำเร็จรูป (Software Package) ได้ เนื่องจากไม่มีการกำหนดและควบคุมสิทธิที่เหมาะสม</t>
  </si>
  <si>
    <t>1.มีการควบคุมสิทธิผู้ที่สามารถติดตั้งซอฟต์แวร์
2.มีแบบฟอร์มขอติดตั้ง Software ผ่านระบบ Ticket IT Help Center
3.ผ่านการอนุมัติจาก Team manager
4.นโยบายไม่ให้นำอุปกรณ์สื่อบันทึกข้อมูลแบบพกพามาเชื่อมต่อ
5.มีนโยบายควบคุมการติดตั้ง Software</t>
  </si>
  <si>
    <t>ผู้ไม่มีสิทธิสามารถ Copy ซอฟต์แวร์สำเร็จรูป (Software Package) ไปนอกองค์กรได้ เนื่องจากไม่มีการกำหนดและควบคุมสิทธิที่เหมาะสม</t>
  </si>
  <si>
    <t>1.นโยบายไม่ให้นำอุปกรณ์สื่อบันทึกข้อมูลแบบพกพามาเชื่อมต่อ
2. มีโปรแกรม MDM Jamf Pro ตั้งค่า Device Control
3.มีการควบคุมการนำข้อมูลออกจากระบบภายใน</t>
  </si>
  <si>
    <t>ซอฟต์แวร์สำเร็จรูป (Software Package) ถูกเผยแพร่ สำเนาหรือเข้าถึงได้ เนื่องจากการตรวจสอบและจัดการอุปกรณ์จัดเก็บข้อมูลบนเครื่องคอมพิวเตอร์ก่อนการส่งซ่อม หรือจำหน่ายทิ้งไม่มีประสิทธิผล</t>
  </si>
  <si>
    <t xml:space="preserve">1.มีการจัด Format อุปกรณ์ก่อนนำส่งซ่อม หรือ ทำลายก่อนจำหน่าย
</t>
  </si>
  <si>
    <t>ซอฟต์แวร์สำเร็จรูป (Software Package) ทำงานผิดปกติจากไวรัสคอมพิวเตอร์แพร่ระบาด เนื่องจากการติดตามและป้องกันไวรัสคอมพิวเตอร์ไม่มีประสิทธิผล</t>
  </si>
  <si>
    <t xml:space="preserve">1.มีการตรวจสอบการ Update Virus โดย Assistant IT Support Manager
2.นำ Event Log มาทบทวนและวิเคราะห์หาสาเหตุสัปดาห์ละ 1 ครั้ง
</t>
  </si>
  <si>
    <t>1.ใช้ Softwae ที่เป็น Service ของผู้ให้บริการที่มีการ Backup ให้
2.จัดเก็บใน Share Drive มีการกำหนดสิทธิการเข้าถึง</t>
  </si>
  <si>
    <t xml:space="preserve">ข้อมูลสำรอง (Backup data) ถูกเปิดเผย/เข้าถึงจากผู้ไม่มีสิทธิ </t>
  </si>
  <si>
    <t>ข้อมูลสำรอง (Backup data) ถูกเปลี่ยนแปลงแก้ไข โดยผู้ไม่มีสิทธิ</t>
  </si>
  <si>
    <t>1.มีการตั้ง Screen saver แบบมีรหัสผ่าน ทุก 15 นาที
2.กำหนดพื้นที่ที่มีความสำคัญ
3.ควบคุมการเข้าออกพื้นที่
4.มีการควบคุมการจัดเก็บข้อมูลที่สำคัญ
5.มีการอบรมความตระหนักความปลอดภัยสารสนเทศ ปีละ 1 ครั้ง
6.Lock หน้าจอเมื่อไม่มีการใช้งาน</t>
  </si>
  <si>
    <t>พนักงานที่พ้นสภาพ ทุจริตนำข้อมูลไปเผยแพร่ เปิดเผย จำหน่าย เนื่องจากไม่มีการลงนามสัญญารักษาความลับ (NDA)</t>
  </si>
  <si>
    <t>ในกรณีที่เกิดเหตุภัยพิบัติฉุกเฉินหรือในขณะที่บริษัทต้องการใช้แผนการดำเนินธุรกิจอย่างต่อเนื่อง อาจไม่มี/ขาดพนักงาน เนื่องจากไม่มีกำหนดรายละเอียดทรัพยากรบุคคลที่จำเป็นในแผนการดำเนินธุรกิจอย่างต่อเนื่อง</t>
  </si>
  <si>
    <t>1.ผู้ให้บริการภายนอก
- แจ้งชื่อผู้เข้าปฏิบัติงานในพื้นที่ ล่วงหน้าอย่างน้อย 1 วัน ก่อนเข้าปฏิบัติงาน
- พิสูจน์ตัวตนของบุคคล เช่น บัตรประจำตัวประชาชน
2.แบ่งพื้นที่ที่รักษาความมั่นคงปลอดภัย
3.ควบคุมการเข้า-ออกพื้นที่
4.กำหนดผู้มีสิทธิการเข้าถึงพื้นที่ที่รักษาความมั่นคงปลอดภัย (Zone A)
5.ทบทวนผู้มีสิทธิการเข้าถึงพื้นที่ที่รักษาความมั่นคงปลอดภัย (Zone A) ปีละ 1 ครั้ง
6.จัดพื้นที่สำหรับรับ - ส่งของ (Loading Area) ก่อนนำอุปกรณ์หรือสิ่งของเข้าพื้นที่</t>
  </si>
  <si>
    <t>ฝ่ายอาคาร
1.กำหนดรอบตรวจสอบระบบปรับอากาศ เดือนละ 1 ครั้ง
2.กำหนดรอบตรวจสอบระบบไฟฟ้าสำรองประจำวัน โดยเจ้าหน้าที่สารสนเทศ
3.กำหนดรอบตรวจสอบระบบไฟฟ้าสำรองทุก 3 เดือน โดยผู้ให้บริการภายนอก
4.กำหนดมีการตรวจสอบระบบท่อน้ำแอร์และท่อน้ำทิ้งแอร์ ทุก 1 เดือน</t>
  </si>
  <si>
    <t>1.กำหนดพื้นที่ที่รักษาความมั่นคงปลอดภัย ( Zone A)
2.ควบคุมการเข้า-ออกพื้นที่
3.กำหนดผู้มีสิทธิการเข้าถึงพื้นที่ที่รักษาความมั่นคงปลอดภัย (Zone A)
4.ทบทวนผู้มีสิทธิการเข้าถึงพื้นที่ที่รักษาความมั่นคงปลอดภัย (Zone A) ปีละ 1 ครั้ง</t>
  </si>
  <si>
    <t>1. มีระบบป้องกันอัคคีภัย
2. มี Smoke Detector
3. มีวางระบบท่อน้ำปรับอากาศ</t>
  </si>
  <si>
    <t>1.มีฝึกอบรมพนักงาน
2.ส่งพนักงานฝึกอบรมภายนอก เพื่อเพิ่มความรู้ ความสามารถ (Competency)
3.ทบทวนเอกสารคู่มือการปฏิบัติ (WI) ทุก 1 ปี</t>
  </si>
  <si>
    <t>1.มีนโยบายควบคุมการเผยแพร่ข้อมูล
2.มีการจัดการข้อมูลก่อนส่งอุปกรณ์
3.นโยบายการจัดเก็บข้อมูลสำคัญ
4.มีอุปกรณ์สำรอง</t>
  </si>
  <si>
    <t>1.มีการกำหนดสิทธิการเข้าถึงข้อมูล
2.มีโนยบายควบคุมการเผยแพร่ข้อมูล
3.ได้รับอนุญาตจากเจ้าหน้าที่ฝ่าย IT</t>
  </si>
  <si>
    <t>โปรแกรมใช้งานไม่ได้ เนื่องจากติด Virus หรือ Malware เนื่องจากไม่มีการ Update Antivirus</t>
  </si>
  <si>
    <r>
      <t>1.</t>
    </r>
    <r>
      <rPr>
        <sz val="18"/>
        <color rgb="FF000000"/>
        <rFont val="TH Sarabun New"/>
        <family val="2"/>
      </rPr>
      <t xml:space="preserve">มีการกำหนดสิทธิการเข้าถึงข้อมูล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มีโนยบายควบคุมการเผยแพร่ข้อมูล
</t>
    </r>
    <r>
      <rPr>
        <sz val="18"/>
        <color rgb="FF222222"/>
        <rFont val="TH Sarabun New"/>
        <family val="2"/>
      </rPr>
      <t>3.</t>
    </r>
    <r>
      <rPr>
        <sz val="18"/>
        <color rgb="FF000000"/>
        <rFont val="TH Sarabun New"/>
        <family val="2"/>
      </rPr>
      <t>ได้รับอนุญาตจากเจ้าหน้าที่ฝ่าย IT</t>
    </r>
  </si>
  <si>
    <r>
      <t>1.</t>
    </r>
    <r>
      <rPr>
        <sz val="18"/>
        <color rgb="FF000000"/>
        <rFont val="TH Sarabun New"/>
        <family val="2"/>
      </rPr>
      <t xml:space="preserve">มีการควบคุมและติดตามผู้ให้บริการภายนอกระหว่างปฏิบัติงาน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>ผู้ให้บริการภายนอกแจ้งล่วงหน้าก่อนเข้าปฏิบัติงาน</t>
    </r>
  </si>
  <si>
    <r>
      <t>1.</t>
    </r>
    <r>
      <rPr>
        <sz val="18"/>
        <color rgb="FF000000"/>
        <rFont val="TH Sarabun New"/>
        <family val="2"/>
      </rPr>
      <t xml:space="preserve">มีการ </t>
    </r>
    <r>
      <rPr>
        <sz val="18"/>
        <color rgb="FF222222"/>
        <rFont val="TH Sarabun New"/>
        <family val="2"/>
      </rPr>
      <t xml:space="preserve">Reset </t>
    </r>
    <r>
      <rPr>
        <sz val="18"/>
        <color rgb="FF000000"/>
        <rFont val="TH Sarabun New"/>
        <family val="2"/>
      </rPr>
      <t xml:space="preserve">เครื่องสแกนลายนิ้วมือทุก </t>
    </r>
    <r>
      <rPr>
        <sz val="18"/>
        <color rgb="FF222222"/>
        <rFont val="TH Sarabun New"/>
        <family val="2"/>
      </rPr>
      <t xml:space="preserve">1 </t>
    </r>
    <r>
      <rPr>
        <sz val="18"/>
        <color rgb="FF000000"/>
        <rFont val="TH Sarabun New"/>
        <family val="2"/>
      </rPr>
      <t>ปี หรือดำเนินการทันทีเมือมีพนักงานพ้นสภาพ</t>
    </r>
  </si>
  <si>
    <r>
      <t>1.</t>
    </r>
    <r>
      <rPr>
        <sz val="18"/>
        <color rgb="FF000000"/>
        <rFont val="TH Sarabun New"/>
        <family val="2"/>
      </rPr>
      <t xml:space="preserve">ผู้ดูแลผ่านการฝึกอบรมการตั้งค่าอุปกรณ์เน็ตเวิร์คจากผู้ให้บริการภายนอก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การตั้งค่าเน็ตเวิร์คสามารถตั้งค่าได้จากผู้เชี่ยวชาญ
</t>
    </r>
    <r>
      <rPr>
        <sz val="18"/>
        <color rgb="FF222222"/>
        <rFont val="TH Sarabun New"/>
        <family val="2"/>
      </rPr>
      <t>3.</t>
    </r>
    <r>
      <rPr>
        <sz val="18"/>
        <color rgb="FF000000"/>
        <rFont val="TH Sarabun New"/>
        <family val="2"/>
      </rPr>
      <t xml:space="preserve">มีการ </t>
    </r>
    <r>
      <rPr>
        <sz val="18"/>
        <color rgb="FF222222"/>
        <rFont val="TH Sarabun New"/>
        <family val="2"/>
      </rPr>
      <t>BackUp Config
4.</t>
    </r>
    <r>
      <rPr>
        <sz val="18"/>
        <color rgb="FF000000"/>
        <rFont val="TH Sarabun New"/>
        <family val="2"/>
      </rPr>
      <t xml:space="preserve">เจ้าหน้า IT Support สามารถแก้ไขเบื้องต้นได้ตามที่ผู้ให้บริการภายนอกกำหนดได้เท่านั้น เช่น </t>
    </r>
    <r>
      <rPr>
        <sz val="18"/>
        <color rgb="FF222222"/>
        <rFont val="TH Sarabun New"/>
        <family val="2"/>
      </rPr>
      <t>Port Security, Change port Vlan</t>
    </r>
  </si>
  <si>
    <r>
      <t>1.</t>
    </r>
    <r>
      <rPr>
        <sz val="18"/>
        <color rgb="FF000000"/>
        <rFont val="TH Sarabun New"/>
        <family val="2"/>
      </rPr>
      <t xml:space="preserve">มีการติด </t>
    </r>
    <r>
      <rPr>
        <sz val="18"/>
        <color rgb="FF222222"/>
        <rFont val="TH Sarabun New"/>
        <family val="2"/>
      </rPr>
      <t xml:space="preserve">Label </t>
    </r>
    <r>
      <rPr>
        <sz val="18"/>
        <color rgb="FF000000"/>
        <rFont val="TH Sarabun New"/>
        <family val="2"/>
      </rPr>
      <t xml:space="preserve">ที่สาย </t>
    </r>
    <r>
      <rPr>
        <sz val="18"/>
        <color rgb="FF222222"/>
        <rFont val="TH Sarabun New"/>
        <family val="2"/>
      </rPr>
      <t xml:space="preserve">UTP </t>
    </r>
    <r>
      <rPr>
        <sz val="18"/>
        <color rgb="FF000000"/>
        <rFont val="TH Sarabun New"/>
        <family val="2"/>
      </rPr>
      <t>บางส่วน</t>
    </r>
  </si>
  <si>
    <r>
      <t>1.</t>
    </r>
    <r>
      <rPr>
        <sz val="18"/>
        <color rgb="FF000000"/>
        <rFont val="TH Sarabun New"/>
        <family val="2"/>
      </rPr>
      <t xml:space="preserve">ดำเนินการบำรุงรักษาจากผู้ให้บริการภายนอก และผู้เชี่ยวชาญ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แจ้งหน่วยงานที่ได้รับผลกระทบทราบและดำเนินการในช่วงระยะเวลาที่ผู้รับบริการได้รับผลกระทบน้อยที่สุด
</t>
    </r>
    <r>
      <rPr>
        <sz val="18"/>
        <color rgb="FF222222"/>
        <rFont val="TH Sarabun New"/>
        <family val="2"/>
      </rPr>
      <t>3.</t>
    </r>
    <r>
      <rPr>
        <sz val="18"/>
        <color rgb="FF000000"/>
        <rFont val="TH Sarabun New"/>
        <family val="2"/>
      </rPr>
      <t xml:space="preserve">มีการวางแผนการบำรุงรักษาที่แน่นอนตามรอบ </t>
    </r>
    <r>
      <rPr>
        <sz val="18"/>
        <color rgb="FF222222"/>
        <rFont val="TH Sarabun New"/>
        <family val="2"/>
      </rPr>
      <t>MA
4.</t>
    </r>
    <r>
      <rPr>
        <sz val="18"/>
        <color rgb="FF000000"/>
        <rFont val="TH Sarabun New"/>
        <family val="2"/>
      </rPr>
      <t>มีอุปกรณ์สำรอง</t>
    </r>
  </si>
  <si>
    <r>
      <t>1.</t>
    </r>
    <r>
      <rPr>
        <sz val="18"/>
        <color rgb="FF000000"/>
        <rFont val="TH Sarabun New"/>
        <family val="2"/>
      </rPr>
      <t xml:space="preserve">มีการจัดเก็บอุปกรณ์ในตู้ </t>
    </r>
    <r>
      <rPr>
        <sz val="18"/>
        <color rgb="FF222222"/>
        <rFont val="TH Sarabun New"/>
        <family val="2"/>
      </rPr>
      <t>Rack ที่เหมาะสม
2.</t>
    </r>
    <r>
      <rPr>
        <sz val="18"/>
        <color rgb="FF000000"/>
        <rFont val="TH Sarabun New"/>
        <family val="2"/>
      </rPr>
      <t xml:space="preserve">มีระบบ </t>
    </r>
    <r>
      <rPr>
        <sz val="18"/>
        <color rgb="FF222222"/>
        <rFont val="TH Sarabun New"/>
        <family val="2"/>
      </rPr>
      <t>Monitor
3.</t>
    </r>
    <r>
      <rPr>
        <sz val="18"/>
        <color rgb="FF000000"/>
        <rFont val="TH Sarabun New"/>
        <family val="2"/>
      </rPr>
      <t>มีการตรวจสอบอุปกรณ์</t>
    </r>
  </si>
  <si>
    <r>
      <t>1.</t>
    </r>
    <r>
      <rPr>
        <sz val="18"/>
        <color rgb="FF000000"/>
        <rFont val="TH Sarabun New"/>
        <family val="2"/>
      </rPr>
      <t xml:space="preserve">มีการวางแผนรับสถานการณ์ </t>
    </r>
    <r>
      <rPr>
        <sz val="18"/>
        <color rgb="FF222222"/>
        <rFont val="TH Sarabun New"/>
        <family val="2"/>
      </rPr>
      <t xml:space="preserve">Network </t>
    </r>
    <r>
      <rPr>
        <sz val="18"/>
        <color rgb="FF000000"/>
        <rFont val="TH Sarabun New"/>
        <family val="2"/>
      </rPr>
      <t xml:space="preserve">ใช้งานไม่ได้
</t>
    </r>
    <r>
      <rPr>
        <sz val="18"/>
        <color rgb="FF222222"/>
        <rFont val="TH Sarabun New"/>
        <family val="2"/>
      </rPr>
      <t xml:space="preserve">
</t>
    </r>
  </si>
  <si>
    <r>
      <t>1.</t>
    </r>
    <r>
      <rPr>
        <sz val="18"/>
        <color rgb="FF000000"/>
        <rFont val="TH Sarabun New"/>
        <family val="2"/>
      </rPr>
      <t xml:space="preserve">มีการทดสอบ </t>
    </r>
    <r>
      <rPr>
        <sz val="18"/>
        <color rgb="FF222222"/>
        <rFont val="TH Sarabun New"/>
        <family val="2"/>
      </rPr>
      <t xml:space="preserve">Software Version </t>
    </r>
    <r>
      <rPr>
        <sz val="18"/>
        <color rgb="FF000000"/>
        <rFont val="TH Sarabun New"/>
        <family val="2"/>
      </rPr>
      <t>ล่าสุดว่ามีผลกระทบต่อระบบการใช้งานก่อนนำมาใช้งานจริง</t>
    </r>
  </si>
  <si>
    <r>
      <t>1.</t>
    </r>
    <r>
      <rPr>
        <sz val="18"/>
        <color rgb="FF000000"/>
        <rFont val="TH Sarabun New"/>
        <family val="2"/>
      </rPr>
      <t xml:space="preserve">มีการควบคุมสิทธิผู้ที่สามารถติดตั้งซอฟต์แวร์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มีแบบฟอร์มขอติดตั้ง </t>
    </r>
    <r>
      <rPr>
        <sz val="18"/>
        <color rgb="FF222222"/>
        <rFont val="TH Sarabun New"/>
        <family val="2"/>
      </rPr>
      <t>Software ผ่านระบบ Ticket IT Help Center
3.</t>
    </r>
    <r>
      <rPr>
        <sz val="18"/>
        <color rgb="FF000000"/>
        <rFont val="TH Sarabun New"/>
        <family val="2"/>
      </rPr>
      <t xml:space="preserve">ผ่านการอนุมัติจาก Team manager
</t>
    </r>
    <r>
      <rPr>
        <sz val="18"/>
        <color rgb="FF222222"/>
        <rFont val="TH Sarabun New"/>
        <family val="2"/>
      </rPr>
      <t>4.</t>
    </r>
    <r>
      <rPr>
        <sz val="18"/>
        <color rgb="FF000000"/>
        <rFont val="TH Sarabun New"/>
        <family val="2"/>
      </rPr>
      <t xml:space="preserve">นโยบายไม่ให้นำอุปกรณ์สื่อบันทึกข้อมูลแบบพกพามาเชื่อมต่อ
</t>
    </r>
    <r>
      <rPr>
        <sz val="18"/>
        <color rgb="FF222222"/>
        <rFont val="TH Sarabun New"/>
        <family val="2"/>
      </rPr>
      <t>5.</t>
    </r>
    <r>
      <rPr>
        <sz val="18"/>
        <color rgb="FF000000"/>
        <rFont val="TH Sarabun New"/>
        <family val="2"/>
      </rPr>
      <t xml:space="preserve">มีนโยบายควบคุมการติดตั้ง </t>
    </r>
    <r>
      <rPr>
        <sz val="18"/>
        <color rgb="FF222222"/>
        <rFont val="TH Sarabun New"/>
        <family val="2"/>
      </rPr>
      <t>Software</t>
    </r>
  </si>
  <si>
    <r>
      <t>1.</t>
    </r>
    <r>
      <rPr>
        <sz val="18"/>
        <color rgb="FF000000"/>
        <rFont val="TH Sarabun New"/>
        <family val="2"/>
      </rPr>
      <t xml:space="preserve">นโยบายไม่ให้นำอุปกรณ์สื่อบันทึกข้อมูลแบบพกพามาเชื่อมต่อ
</t>
    </r>
    <r>
      <rPr>
        <sz val="18"/>
        <color rgb="FF222222"/>
        <rFont val="TH Sarabun New"/>
        <family val="2"/>
      </rPr>
      <t xml:space="preserve">2. </t>
    </r>
    <r>
      <rPr>
        <sz val="18"/>
        <color rgb="FF000000"/>
        <rFont val="TH Sarabun New"/>
        <family val="2"/>
      </rPr>
      <t>มีโปรแกรม MDM Jamf Pro ตั้งค่า Device Control</t>
    </r>
    <r>
      <rPr>
        <sz val="18"/>
        <color rgb="FF222222"/>
        <rFont val="TH Sarabun New"/>
        <family val="2"/>
      </rPr>
      <t xml:space="preserve">
3.</t>
    </r>
    <r>
      <rPr>
        <sz val="18"/>
        <color rgb="FF000000"/>
        <rFont val="TH Sarabun New"/>
        <family val="2"/>
      </rPr>
      <t>มีการควบคุมการนำข้อมูลออกจากระบบภายใน</t>
    </r>
  </si>
  <si>
    <r>
      <t>1.</t>
    </r>
    <r>
      <rPr>
        <sz val="18"/>
        <color rgb="FF000000"/>
        <rFont val="TH Sarabun New"/>
        <family val="2"/>
      </rPr>
      <t xml:space="preserve">มีการจัด </t>
    </r>
    <r>
      <rPr>
        <sz val="18"/>
        <color rgb="FF222222"/>
        <rFont val="TH Sarabun New"/>
        <family val="2"/>
      </rPr>
      <t xml:space="preserve">Format </t>
    </r>
    <r>
      <rPr>
        <sz val="18"/>
        <color rgb="FF000000"/>
        <rFont val="TH Sarabun New"/>
        <family val="2"/>
      </rPr>
      <t xml:space="preserve">อุปกรณ์ก่อนนำส่งซ่อม หรือ ทำลายก่อนจำหน่าย
</t>
    </r>
  </si>
  <si>
    <r>
      <t>1.</t>
    </r>
    <r>
      <rPr>
        <sz val="18"/>
        <color rgb="FF000000"/>
        <rFont val="TH Sarabun New"/>
        <family val="2"/>
      </rPr>
      <t xml:space="preserve">มีการควบคุมและติดตาม </t>
    </r>
    <r>
      <rPr>
        <sz val="18"/>
        <color rgb="FF222222"/>
        <rFont val="TH Sarabun New"/>
        <family val="2"/>
      </rPr>
      <t xml:space="preserve">Update Virus </t>
    </r>
    <r>
      <rPr>
        <sz val="18"/>
        <color rgb="FF000000"/>
        <rFont val="TH Sarabun New"/>
        <family val="2"/>
      </rPr>
      <t xml:space="preserve">อย่างน้อย </t>
    </r>
    <r>
      <rPr>
        <sz val="18"/>
        <color rgb="FF222222"/>
        <rFont val="TH Sarabun New"/>
        <family val="2"/>
      </rPr>
      <t xml:space="preserve">3 </t>
    </r>
    <r>
      <rPr>
        <sz val="18"/>
        <color rgb="FF000000"/>
        <rFont val="TH Sarabun New"/>
        <family val="2"/>
      </rPr>
      <t xml:space="preserve">วัน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>นโยบายไม่ให้นำอุปกรณ์สื่อบันทึกข้อมูลแบบพกพามาเชื่อมต่อ
3</t>
    </r>
    <r>
      <rPr>
        <sz val="18"/>
        <color rgb="FF222222"/>
        <rFont val="TH Sarabun New"/>
        <family val="2"/>
      </rPr>
      <t>. มีโปรแกรม MDM Jamf Pro ตั้งค่า Device Control</t>
    </r>
    <r>
      <rPr>
        <sz val="18"/>
        <color rgb="FF000000"/>
        <rFont val="TH Sarabun New"/>
        <family val="2"/>
      </rPr>
      <t xml:space="preserve">
4</t>
    </r>
    <r>
      <rPr>
        <sz val="18"/>
        <color rgb="FF222222"/>
        <rFont val="TH Sarabun New"/>
        <family val="2"/>
      </rPr>
      <t>.</t>
    </r>
    <r>
      <rPr>
        <sz val="18"/>
        <color rgb="FF000000"/>
        <rFont val="TH Sarabun New"/>
        <family val="2"/>
      </rPr>
      <t xml:space="preserve">มีระบบ </t>
    </r>
    <r>
      <rPr>
        <sz val="18"/>
        <color rgb="FF222222"/>
        <rFont val="TH Sarabun New"/>
        <family val="2"/>
      </rPr>
      <t>Monitor
5.</t>
    </r>
    <r>
      <rPr>
        <sz val="18"/>
        <color rgb="FF000000"/>
        <rFont val="TH Sarabun New"/>
        <family val="2"/>
      </rPr>
      <t xml:space="preserve">มีการรายงานความผิดปกติ </t>
    </r>
    <r>
      <rPr>
        <sz val="18"/>
        <color rgb="FF222222"/>
        <rFont val="TH Sarabun New"/>
        <family val="2"/>
      </rPr>
      <t>Antivirus</t>
    </r>
  </si>
  <si>
    <r>
      <t xml:space="preserve">ซอฟต์แวร์สำเร็จรูป </t>
    </r>
    <r>
      <rPr>
        <sz val="18"/>
        <color rgb="FF222222"/>
        <rFont val="TH Sarabun New"/>
        <family val="2"/>
      </rPr>
      <t xml:space="preserve">(Software Package) </t>
    </r>
    <r>
      <rPr>
        <sz val="18"/>
        <color rgb="FF000000"/>
        <rFont val="TH Sarabun New"/>
        <family val="2"/>
      </rPr>
      <t>ล้มเหลว</t>
    </r>
    <r>
      <rPr>
        <sz val="18"/>
        <color rgb="FF222222"/>
        <rFont val="TH Sarabun New"/>
        <family val="2"/>
      </rPr>
      <t>/</t>
    </r>
    <r>
      <rPr>
        <sz val="18"/>
        <color rgb="FF000000"/>
        <rFont val="TH Sarabun New"/>
        <family val="2"/>
      </rPr>
      <t xml:space="preserve">เสียหาย ไม่สามารถกู้คืนระบบได้ตามระยะเวลาที่กำหนด เนื่องจากไม่มีการสำรองซอฟต์แวร์ </t>
    </r>
    <r>
      <rPr>
        <sz val="18"/>
        <color rgb="FF222222"/>
        <rFont val="TH Sarabun New"/>
        <family val="2"/>
      </rPr>
      <t>(Backup)</t>
    </r>
  </si>
  <si>
    <r>
      <t>1.ใช้ Software ที่เป็น Service ของผู้ให้บริการที่มีการ Backup ให้
2.</t>
    </r>
    <r>
      <rPr>
        <sz val="18"/>
        <color rgb="FF000000"/>
        <rFont val="TH Sarabun New"/>
        <family val="2"/>
      </rPr>
      <t xml:space="preserve">จัดเก็บใน </t>
    </r>
    <r>
      <rPr>
        <sz val="18"/>
        <color rgb="FF222222"/>
        <rFont val="TH Sarabun New"/>
        <family val="2"/>
      </rPr>
      <t>Share Drive มีการกำหนดสิทธิการเข้าถึง</t>
    </r>
  </si>
  <si>
    <r>
      <t>1.</t>
    </r>
    <r>
      <rPr>
        <sz val="18"/>
        <color rgb="FF000000"/>
        <rFont val="TH Sarabun New"/>
        <family val="2"/>
      </rPr>
      <t xml:space="preserve">มีนโยบายควบคุมการเผยแพร่ข้อมูล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มีการยกเลิก </t>
    </r>
    <r>
      <rPr>
        <sz val="18"/>
        <color rgb="FF222222"/>
        <rFont val="TH Sarabun New"/>
        <family val="2"/>
      </rPr>
      <t xml:space="preserve">User </t>
    </r>
    <r>
      <rPr>
        <sz val="18"/>
        <color rgb="FF000000"/>
        <rFont val="TH Sarabun New"/>
        <family val="2"/>
      </rPr>
      <t>เมื่อพนักงานลาออก ในวันสุดท้ายของการทำงานทันที</t>
    </r>
  </si>
  <si>
    <r>
      <t>1.</t>
    </r>
    <r>
      <rPr>
        <sz val="18"/>
        <color rgb="FF000000"/>
        <rFont val="TH Sarabun New"/>
        <family val="2"/>
      </rPr>
      <t xml:space="preserve">ให้ความรู้พนักงานใหม่โดยการสอนระหว่างการปฏิบัติงาน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>มีการจัดทำคู่มือ</t>
    </r>
    <r>
      <rPr>
        <sz val="18"/>
        <color rgb="FF222222"/>
        <rFont val="TH Sarabun New"/>
        <family val="2"/>
      </rPr>
      <t xml:space="preserve">
</t>
    </r>
  </si>
  <si>
    <r>
      <t>1.</t>
    </r>
    <r>
      <rPr>
        <sz val="18"/>
        <color rgb="FF000000"/>
        <rFont val="TH Sarabun New"/>
        <family val="2"/>
      </rPr>
      <t>มีแผนรับสถานการณ์ฉุกเฉิน</t>
    </r>
  </si>
  <si>
    <r>
      <t xml:space="preserve">ผู้ไม่มีสิทธิ เข้าถึงพื้นที่ได้ไม่จำกัด ทำให้ข้อมูลหรืออุปกรณ์ที่มีสำคัญ </t>
    </r>
    <r>
      <rPr>
        <sz val="18"/>
        <color rgb="FF222222"/>
        <rFont val="TH Sarabun New"/>
        <family val="2"/>
      </rPr>
      <t xml:space="preserve">(Critical) </t>
    </r>
    <r>
      <rPr>
        <sz val="18"/>
        <color rgb="FF000000"/>
        <rFont val="TH Sarabun New"/>
        <family val="2"/>
      </rPr>
      <t>สูญหาย</t>
    </r>
    <r>
      <rPr>
        <sz val="18"/>
        <color rgb="FF222222"/>
        <rFont val="TH Sarabun New"/>
        <family val="2"/>
      </rPr>
      <t>/</t>
    </r>
    <r>
      <rPr>
        <sz val="18"/>
        <color rgb="FF000000"/>
        <rFont val="TH Sarabun New"/>
        <family val="2"/>
      </rPr>
      <t xml:space="preserve">เสียหาย เนื่องจากไม่มีการกำหนดขอบเขตพื้นที่ความปลอดภัย ความสำคัญ </t>
    </r>
    <r>
      <rPr>
        <sz val="18"/>
        <color rgb="FF222222"/>
        <rFont val="TH Sarabun New"/>
        <family val="2"/>
      </rPr>
      <t>(Critical)</t>
    </r>
  </si>
  <si>
    <r>
      <t xml:space="preserve">ผู้ไม่มีสิทธิ เข้าถึงพื้นที่ได้ไม่จำกัด ทำให้ข้อมูลหรืออุปกรณ์ที่มีสำคัญ </t>
    </r>
    <r>
      <rPr>
        <sz val="18"/>
        <color rgb="FF222222"/>
        <rFont val="TH Sarabun New"/>
        <family val="2"/>
      </rPr>
      <t xml:space="preserve">(Critical) </t>
    </r>
    <r>
      <rPr>
        <sz val="18"/>
        <color rgb="FF000000"/>
        <rFont val="TH Sarabun New"/>
        <family val="2"/>
      </rPr>
      <t>สูญหาย</t>
    </r>
    <r>
      <rPr>
        <sz val="18"/>
        <color rgb="FF222222"/>
        <rFont val="TH Sarabun New"/>
        <family val="2"/>
      </rPr>
      <t>/</t>
    </r>
    <r>
      <rPr>
        <sz val="18"/>
        <color rgb="FF000000"/>
        <rFont val="TH Sarabun New"/>
        <family val="2"/>
      </rPr>
      <t>เสียหาย เนื่องจากไม่มีการควบคุมการเข้า</t>
    </r>
    <r>
      <rPr>
        <sz val="18"/>
        <color rgb="FF222222"/>
        <rFont val="TH Sarabun New"/>
        <family val="2"/>
      </rPr>
      <t>-</t>
    </r>
    <r>
      <rPr>
        <sz val="18"/>
        <color rgb="FF000000"/>
        <rFont val="TH Sarabun New"/>
        <family val="2"/>
      </rPr>
      <t>ออก</t>
    </r>
  </si>
  <si>
    <r>
      <t>1.</t>
    </r>
    <r>
      <rPr>
        <sz val="18"/>
        <color rgb="FF000000"/>
        <rFont val="TH Sarabun New"/>
        <family val="2"/>
      </rPr>
      <t xml:space="preserve">มีการทำความสะอาดดูแลโดยฝ่ายอาคาร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มีระบบปรับอากาศและมีระบบไฟฟ้าสำรอง ดูแลโดยฝ่ายอาคาร
</t>
    </r>
    <r>
      <rPr>
        <sz val="18"/>
        <color rgb="FF222222"/>
        <rFont val="TH Sarabun New"/>
        <family val="2"/>
      </rPr>
      <t>3.</t>
    </r>
    <r>
      <rPr>
        <sz val="18"/>
        <color rgb="FF000000"/>
        <rFont val="TH Sarabun New"/>
        <family val="2"/>
      </rPr>
      <t xml:space="preserve">มีระบบไฟฟ้าสำรอง ดูแลโดยฝ่ายสารสนเทศ
</t>
    </r>
  </si>
  <si>
    <r>
      <t xml:space="preserve">ผู้ไม่มีสิทธิ แก้ไขการตั้งค่าอุปกรณ์ควบคุมสภาพแวดล้อม </t>
    </r>
    <r>
      <rPr>
        <sz val="18"/>
        <color rgb="FF222222"/>
        <rFont val="TH Sarabun New"/>
        <family val="2"/>
      </rPr>
      <t>(</t>
    </r>
    <r>
      <rPr>
        <sz val="18"/>
        <color rgb="FF000000"/>
        <rFont val="TH Sarabun New"/>
        <family val="2"/>
      </rPr>
      <t>อุณหภูมิ และความชื้น</t>
    </r>
    <r>
      <rPr>
        <sz val="18"/>
        <color rgb="FF222222"/>
        <rFont val="TH Sarabun New"/>
        <family val="2"/>
      </rPr>
      <t xml:space="preserve">) </t>
    </r>
    <r>
      <rPr>
        <sz val="18"/>
        <color rgb="FF000000"/>
        <rFont val="TH Sarabun New"/>
        <family val="2"/>
      </rPr>
      <t>ทำให้ระบบควบคุมทำงานผิดพลาด และระบบภายอุปกรณ์ทำงานผิดปกติ เนื่องจากเนื่องจากไม่มีการควบคุมการเข้า</t>
    </r>
    <r>
      <rPr>
        <sz val="18"/>
        <color rgb="FF222222"/>
        <rFont val="TH Sarabun New"/>
        <family val="2"/>
      </rPr>
      <t>-</t>
    </r>
    <r>
      <rPr>
        <sz val="18"/>
        <color rgb="FF000000"/>
        <rFont val="TH Sarabun New"/>
        <family val="2"/>
      </rPr>
      <t>ออก และการตรวจสอบ ทบทวนสิทธิการเข้าถึง</t>
    </r>
  </si>
  <si>
    <r>
      <t xml:space="preserve">งานสารสนเทศไม่สามารถให้บริการตามที่กำหนด เนื่องจากไม่มีข้อตกลงระดับการให้บริการ </t>
    </r>
    <r>
      <rPr>
        <sz val="18"/>
        <color rgb="FF222222"/>
        <rFont val="TH Sarabun New"/>
        <family val="2"/>
      </rPr>
      <t xml:space="preserve">(Service Level Agreement : SLA) </t>
    </r>
    <r>
      <rPr>
        <sz val="18"/>
        <color rgb="FF000000"/>
        <rFont val="TH Sarabun New"/>
        <family val="2"/>
      </rPr>
      <t>ที่ชัดเจน หรือไม่มีแผนการให้บริการอย่างต่อเนื่องในกรณีเกิดเหตุไม่คาดคิด</t>
    </r>
  </si>
  <si>
    <r>
      <t>1.</t>
    </r>
    <r>
      <rPr>
        <sz val="18"/>
        <color rgb="FF000000"/>
        <rFont val="TH Sarabun New"/>
        <family val="2"/>
      </rPr>
      <t xml:space="preserve">ให้ความรู้พนักงานใหม่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จัดทำเอกสารวิธีการปฏิบัติงาน </t>
    </r>
    <r>
      <rPr>
        <sz val="18"/>
        <color rgb="FF222222"/>
        <rFont val="TH Sarabun New"/>
        <family val="2"/>
      </rPr>
      <t xml:space="preserve">(WI)
</t>
    </r>
  </si>
  <si>
    <r>
      <t xml:space="preserve">กรณีที่อุปกรณ์เสียและมีการนำอุปกรณ์ใหม่มาทดแทน ข้อมูลที่มีบันทึกอยู่ในอุปกรณ์อาจถูกนำไปเปิดเผย เนื่องจากไม่มีสัญญารักษาความลับ </t>
    </r>
    <r>
      <rPr>
        <sz val="18"/>
        <color rgb="FF222222"/>
        <rFont val="TH Sarabun New"/>
        <family val="2"/>
      </rPr>
      <t xml:space="preserve">(NDA) </t>
    </r>
    <r>
      <rPr>
        <sz val="18"/>
        <color rgb="FF000000"/>
        <rFont val="TH Sarabun New"/>
        <family val="2"/>
      </rPr>
      <t>หรือ การจัดการกับข้อมูลภายในอุปกรณ์</t>
    </r>
  </si>
  <si>
    <r>
      <t>1.</t>
    </r>
    <r>
      <rPr>
        <sz val="18"/>
        <color rgb="FF000000"/>
        <rFont val="TH Sarabun New"/>
        <family val="2"/>
      </rPr>
      <t xml:space="preserve">มีนโยบายควบคุมการเผยแพร่ข้อมูล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มีการจัดการข้อมูลก่อนส่งอุปกรณ์
</t>
    </r>
    <r>
      <rPr>
        <sz val="18"/>
        <color rgb="FF222222"/>
        <rFont val="TH Sarabun New"/>
        <family val="2"/>
      </rPr>
      <t>3.</t>
    </r>
    <r>
      <rPr>
        <sz val="18"/>
        <color rgb="FF000000"/>
        <rFont val="TH Sarabun New"/>
        <family val="2"/>
      </rPr>
      <t xml:space="preserve">นโยบายการจัดเก็บข้อมูลสำคัญ
</t>
    </r>
    <r>
      <rPr>
        <sz val="18"/>
        <color rgb="FF222222"/>
        <rFont val="TH Sarabun New"/>
        <family val="2"/>
      </rPr>
      <t>4.</t>
    </r>
    <r>
      <rPr>
        <sz val="18"/>
        <color rgb="FF000000"/>
        <rFont val="TH Sarabun New"/>
        <family val="2"/>
      </rPr>
      <t>มีอุปกรณ์สำรอง</t>
    </r>
  </si>
  <si>
    <r>
      <t>1.</t>
    </r>
    <r>
      <rPr>
        <sz val="18"/>
        <color rgb="FF000000"/>
        <rFont val="TH Sarabun New"/>
        <family val="2"/>
      </rPr>
      <t xml:space="preserve">ให้ความรู้พนักงานใหม่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จัดทำเอกสารวิธีการปฏิบัติงาน </t>
    </r>
    <r>
      <rPr>
        <sz val="18"/>
        <color rgb="FF222222"/>
        <rFont val="TH Sarabun New"/>
        <family val="2"/>
      </rPr>
      <t xml:space="preserve">(WI)
</t>
    </r>
  </si>
  <si>
    <r>
      <t xml:space="preserve">งานสารสนเทศไม่สามารถให้บริการตามที่กำหนด เนื่องจากไม่มีข้อตกลงระดับการให้บริการ </t>
    </r>
    <r>
      <rPr>
        <sz val="18"/>
        <color rgb="FF222222"/>
        <rFont val="TH Sarabun New"/>
        <family val="2"/>
      </rPr>
      <t xml:space="preserve">(Service Level Agreement : SLA) </t>
    </r>
    <r>
      <rPr>
        <sz val="18"/>
        <color rgb="FF000000"/>
        <rFont val="TH Sarabun New"/>
        <family val="2"/>
      </rPr>
      <t>ที่ชัดเจน หรือไม่มีแผนการให้บริการอย่างต่อเนื่อง</t>
    </r>
  </si>
  <si>
    <r>
      <t xml:space="preserve">ข้อมูลที่เป็นความลับถูกนำไปเผยแพร่ เนื่องจากไม่มีการทำสัญญารักษาความลับ </t>
    </r>
    <r>
      <rPr>
        <sz val="18"/>
        <color rgb="FF222222"/>
        <rFont val="TH Sarabun New"/>
        <family val="2"/>
      </rPr>
      <t xml:space="preserve">(NDA) </t>
    </r>
    <r>
      <rPr>
        <sz val="18"/>
        <color rgb="FF000000"/>
        <rFont val="TH Sarabun New"/>
        <family val="2"/>
      </rPr>
      <t>กับผู้ให้บริการภายนอก</t>
    </r>
  </si>
  <si>
    <r>
      <t>1.</t>
    </r>
    <r>
      <rPr>
        <sz val="18"/>
        <color rgb="FF000000"/>
        <rFont val="TH Sarabun New"/>
        <family val="2"/>
      </rPr>
      <t>มีเจ้าหน้าที่ติดตาม เมื่อผู้ให้บริการภายนอกเข้ามาปฏิบัติงาน</t>
    </r>
  </si>
  <si>
    <r>
      <t>1.</t>
    </r>
    <r>
      <rPr>
        <sz val="18"/>
        <color rgb="FF000000"/>
        <rFont val="TH Sarabun New"/>
        <family val="2"/>
      </rPr>
      <t xml:space="preserve">มีการตรวจสอบคุณสมบัติเบื้องต้นของพนักงานผู้ให้บริการภายนอก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>กรณีเปลี่ยนพนักงานผู้ปฏิบัติงาน ผู้ให้บริการภายนอกแจ้งก่อนให้บริการ</t>
    </r>
  </si>
  <si>
    <r>
      <t xml:space="preserve">Software </t>
    </r>
    <r>
      <rPr>
        <sz val="18"/>
        <color rgb="FF000000"/>
        <rFont val="TH Sarabun New"/>
        <family val="2"/>
      </rPr>
      <t>ที่นำมาใช้ผ่านการอนุมัติจากผู้บริหาร</t>
    </r>
  </si>
  <si>
    <r>
      <t>1.</t>
    </r>
    <r>
      <rPr>
        <sz val="18"/>
        <color rgb="FF000000"/>
        <rFont val="TH Sarabun New"/>
        <family val="2"/>
      </rPr>
      <t xml:space="preserve">นโยบายไม่ให้นำอุปกรณ์สื่อบันทึกข้อมูลแบบพกพามาเชื่อมต่อ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ติดตั้งโปรแกรม </t>
    </r>
    <r>
      <rPr>
        <sz val="18"/>
        <color rgb="FF222222"/>
        <rFont val="TH Sarabun New"/>
        <family val="2"/>
      </rPr>
      <t xml:space="preserve">Antivirus </t>
    </r>
    <r>
      <rPr>
        <sz val="18"/>
        <color rgb="FF000000"/>
        <rFont val="TH Sarabun New"/>
        <family val="2"/>
      </rPr>
      <t xml:space="preserve">มีการ Auto </t>
    </r>
    <r>
      <rPr>
        <sz val="18"/>
        <color rgb="FF222222"/>
        <rFont val="TH Sarabun New"/>
        <family val="2"/>
      </rPr>
      <t>Update</t>
    </r>
    <r>
      <rPr>
        <sz val="18"/>
        <color rgb="FF000000"/>
        <rFont val="TH Sarabun New"/>
        <family val="2"/>
      </rPr>
      <t xml:space="preserve">
</t>
    </r>
    <r>
      <rPr>
        <sz val="18"/>
        <color rgb="FF222222"/>
        <rFont val="TH Sarabun New"/>
        <family val="2"/>
      </rPr>
      <t>3.</t>
    </r>
    <r>
      <rPr>
        <sz val="18"/>
        <color rgb="FF000000"/>
        <rFont val="TH Sarabun New"/>
        <family val="2"/>
      </rPr>
      <t>นโยบายการเชื่อมต่อเครือข่ายภายนอก</t>
    </r>
  </si>
  <si>
    <r>
      <t>1.ติดตั้งโปรแกรมเพิ่มเติมโดยขอผ่านระบบ Ticket IT Help Cnter</t>
    </r>
    <r>
      <rPr>
        <sz val="18"/>
        <color rgb="FF000000"/>
        <rFont val="TH Sarabun New"/>
        <family val="2"/>
      </rPr>
      <t xml:space="preserve">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>ตรวจสอบหลังจากติดตั้งโปรแกรม</t>
    </r>
  </si>
  <si>
    <r>
      <t xml:space="preserve">ระบบถูกโจมตี เนื่องจากโปรแกรม </t>
    </r>
    <r>
      <rPr>
        <sz val="18"/>
        <color rgb="FF222222"/>
        <rFont val="TH Sarabun New"/>
        <family val="2"/>
      </rPr>
      <t xml:space="preserve">open Source </t>
    </r>
    <r>
      <rPr>
        <sz val="18"/>
        <color rgb="FF000000"/>
        <rFont val="TH Sarabun New"/>
        <family val="2"/>
      </rPr>
      <t xml:space="preserve">มีช่องโหว่ และมีการเปิดเผย </t>
    </r>
    <r>
      <rPr>
        <sz val="18"/>
        <color rgb="FF222222"/>
        <rFont val="TH Sarabun New"/>
        <family val="2"/>
      </rPr>
      <t xml:space="preserve">Source Code </t>
    </r>
    <r>
      <rPr>
        <sz val="18"/>
        <color rgb="FF000000"/>
        <rFont val="TH Sarabun New"/>
        <family val="2"/>
      </rPr>
      <t>จึงทำให้ถูกโจมตีได้ง่าย</t>
    </r>
  </si>
  <si>
    <r>
      <t>1.</t>
    </r>
    <r>
      <rPr>
        <sz val="18"/>
        <color rgb="FF000000"/>
        <rFont val="TH Sarabun New"/>
        <family val="2"/>
      </rPr>
      <t xml:space="preserve">มีการควบคุมและติดตาม Auto </t>
    </r>
    <r>
      <rPr>
        <sz val="18"/>
        <color rgb="FF222222"/>
        <rFont val="TH Sarabun New"/>
        <family val="2"/>
      </rPr>
      <t>Update Virus</t>
    </r>
    <r>
      <rPr>
        <sz val="18"/>
        <color rgb="FF000000"/>
        <rFont val="TH Sarabun New"/>
        <family val="2"/>
      </rPr>
      <t xml:space="preserve">
</t>
    </r>
    <r>
      <rPr>
        <sz val="18"/>
        <color rgb="FF222222"/>
        <rFont val="TH Sarabun New"/>
        <family val="2"/>
      </rPr>
      <t>2.</t>
    </r>
    <r>
      <rPr>
        <sz val="18"/>
        <color rgb="FF000000"/>
        <rFont val="TH Sarabun New"/>
        <family val="2"/>
      </rPr>
      <t xml:space="preserve">นโยบายไม่ให้นำอุปกรณ์สื่อบันทึกข้อมูลแบบพกพามาเชื่อมต่อ
</t>
    </r>
    <r>
      <rPr>
        <sz val="18"/>
        <color rgb="FF222222"/>
        <rFont val="TH Sarabun New"/>
        <family val="2"/>
      </rPr>
      <t>3.</t>
    </r>
    <r>
      <rPr>
        <sz val="18"/>
        <color rgb="FF000000"/>
        <rFont val="TH Sarabun New"/>
        <family val="2"/>
      </rPr>
      <t xml:space="preserve">มี </t>
    </r>
    <r>
      <rPr>
        <sz val="18"/>
        <color rgb="FF222222"/>
        <rFont val="TH Sarabun New"/>
        <family val="2"/>
      </rPr>
      <t>Feature Device control</t>
    </r>
    <r>
      <rPr>
        <sz val="18"/>
        <color rgb="FF000000"/>
        <rFont val="TH Sarabun New"/>
        <family val="2"/>
      </rPr>
      <t xml:space="preserve">
</t>
    </r>
    <r>
      <rPr>
        <sz val="18"/>
        <color rgb="FF222222"/>
        <rFont val="TH Sarabun New"/>
        <family val="2"/>
      </rPr>
      <t>4.</t>
    </r>
    <r>
      <rPr>
        <sz val="18"/>
        <color rgb="FF000000"/>
        <rFont val="TH Sarabun New"/>
        <family val="2"/>
      </rPr>
      <t xml:space="preserve">มีระบบ </t>
    </r>
    <r>
      <rPr>
        <sz val="18"/>
        <color rgb="FF222222"/>
        <rFont val="TH Sarabun New"/>
        <family val="2"/>
      </rPr>
      <t>Monitor
5.</t>
    </r>
    <r>
      <rPr>
        <sz val="18"/>
        <color rgb="FF000000"/>
        <rFont val="TH Sarabun New"/>
        <family val="2"/>
      </rPr>
      <t xml:space="preserve">มีการรายงานความผิดปกติ </t>
    </r>
    <r>
      <rPr>
        <sz val="18"/>
        <color rgb="FF222222"/>
        <rFont val="TH Sarabun New"/>
        <family val="2"/>
      </rPr>
      <t xml:space="preserve">Antivirus </t>
    </r>
    <r>
      <rPr>
        <sz val="18"/>
        <color rgb="FF000000"/>
        <rFont val="TH Sarabun New"/>
        <family val="2"/>
      </rPr>
      <t>ตามรอบการประชุมฝ่ายสารสนเทศ</t>
    </r>
  </si>
  <si>
    <r>
      <rPr>
        <sz val="18"/>
        <color rgb="FF000000"/>
        <rFont val="TH Sarabun New"/>
        <family val="2"/>
      </rPr>
      <t xml:space="preserve">ลบ </t>
    </r>
    <r>
      <rPr>
        <sz val="18"/>
        <color rgb="FF222222"/>
        <rFont val="TH Sarabun New"/>
        <family val="2"/>
      </rPr>
      <t xml:space="preserve">User </t>
    </r>
    <r>
      <rPr>
        <sz val="18"/>
        <color rgb="FF000000"/>
        <rFont val="TH Sarabun New"/>
        <family val="2"/>
      </rPr>
      <t>เมื่อพนักงานลาออก ในวันสุดท้ายของการทำงานทันที</t>
    </r>
  </si>
  <si>
    <t>กิจกรรม
(Activity)</t>
  </si>
  <si>
    <t>ข้อกำหนด
(Clause , Annex)</t>
  </si>
  <si>
    <t>มาตรการ
(Control)</t>
  </si>
  <si>
    <t>รายละเอียดสิ่งที่ต้องดำเนินการ
(Task Detail)</t>
  </si>
  <si>
    <t>ผู้รับผิดชอบ (Responsibility)</t>
  </si>
  <si>
    <t>วันที่เริ่ม
(Start Date)</t>
  </si>
  <si>
    <t>วันที่เสร็จสิ้น
(Finish Date)</t>
  </si>
  <si>
    <r>
      <rPr>
        <b/>
        <sz val="16"/>
        <color rgb="FF222222"/>
        <rFont val="TH Sarabun New"/>
        <family val="2"/>
      </rPr>
      <t xml:space="preserve">ฝ่ายทรัพยากรบุคคล
</t>
    </r>
    <r>
      <rPr>
        <sz val="16"/>
        <color rgb="FF222222"/>
        <rFont val="TH Sarabun New"/>
        <family val="2"/>
      </rPr>
      <t xml:space="preserve">
1. กำหนดให้ผู้ที่จะบรรจุเป็นพนักงาน ต้องมีการตรวจสอบประวัติอาชญากรรม
2. มีการลงนามสัญญารักษาความลับ (NDA)
3. กำหนดบทลงโทษ เมื่อกระทำการละเมิดข้อตกลงหรือสัญญา
4. มีการควบคุมกรณีพนักงานพ้นสภาพให้ยกเลิก รหัสผู้ใช้ภายใน 24 ชั่วโมง
 ยกเว้นกรณีทำผิดพนักงานพ้นสภาพให้ดำเนินการยกเลิกรหัสผู้ใช้ทันที
5. มีการคืนทรัพย์สินสารสนเทศ ในกรณีที่พนักงานลาออก หรือ กระทำผิดรายแรง
6. มีการประกาศและสื่อสารขั้นตอนการปฏิบัติให้ผู้ปฏิบัติงานที่เกี่ยวข้องรับทราบ</t>
    </r>
  </si>
  <si>
    <r>
      <rPr>
        <sz val="16"/>
        <color rgb="FF222222"/>
        <rFont val="TH Sarabun New"/>
        <family val="2"/>
      </rPr>
      <t xml:space="preserve">1. </t>
    </r>
    <r>
      <rPr>
        <sz val="16"/>
        <color rgb="FF000000"/>
        <rFont val="TH Sarabun New"/>
        <family val="2"/>
      </rPr>
      <t xml:space="preserve">กำหนดนโยบายความมั่นคงปลอดภัยสารสนเทศสำหรับผู้ให้บริการภายนอก จะไม่นำข้อมูลที่สำคัญไปเปิดเผย เผยแพร่ จำหน่าย เป็นต้น
</t>
    </r>
    <r>
      <rPr>
        <sz val="16"/>
        <color rgb="FF222222"/>
        <rFont val="TH Sarabun New"/>
        <family val="2"/>
      </rPr>
      <t xml:space="preserve">2. </t>
    </r>
    <r>
      <rPr>
        <sz val="16"/>
        <color rgb="FF000000"/>
        <rFont val="TH Sarabun New"/>
        <family val="2"/>
      </rPr>
      <t xml:space="preserve">กำหนดให้มีการลงนามสัญญารักษาความลับ </t>
    </r>
    <r>
      <rPr>
        <sz val="16"/>
        <color rgb="FF222222"/>
        <rFont val="TH Sarabun New"/>
        <family val="2"/>
      </rPr>
      <t xml:space="preserve">(NDA) </t>
    </r>
    <r>
      <rPr>
        <sz val="16"/>
        <color rgb="FF000000"/>
        <rFont val="TH Sarabun New"/>
        <family val="2"/>
      </rPr>
      <t xml:space="preserve">กับผู้ให้บริการภายนอก
</t>
    </r>
    <r>
      <rPr>
        <sz val="16"/>
        <color rgb="FF222222"/>
        <rFont val="TH Sarabun New"/>
        <family val="2"/>
      </rPr>
      <t xml:space="preserve">3. </t>
    </r>
    <r>
      <rPr>
        <sz val="16"/>
        <color rgb="FF000000"/>
        <rFont val="TH Sarabun New"/>
        <family val="2"/>
      </rPr>
      <t xml:space="preserve">กำหนดบทลงโทษ เมื่อกระทำการละเมิดข้อตกลงหรือสัญญา
</t>
    </r>
    <r>
      <rPr>
        <sz val="16"/>
        <color rgb="FF222222"/>
        <rFont val="TH Sarabun New"/>
        <family val="2"/>
      </rPr>
      <t xml:space="preserve">4. </t>
    </r>
    <r>
      <rPr>
        <sz val="16"/>
        <color rgb="FF000000"/>
        <rFont val="TH Sarabun New"/>
        <family val="2"/>
      </rPr>
      <t>อบรมเรื่องความมั่นคงปลอดภัยสารสนเทศให้กับผู้ให้บริการภายนอก เพื่อสร้างความตระหนัก</t>
    </r>
  </si>
  <si>
    <r>
      <rPr>
        <sz val="16"/>
        <color rgb="FF000000"/>
        <rFont val="TH Sarabun New"/>
        <family val="2"/>
      </rPr>
      <t xml:space="preserve">กำหนดให้มีการลงนามสัญญารักษาความลับ </t>
    </r>
    <r>
      <rPr>
        <sz val="16"/>
        <color rgb="FF222222"/>
        <rFont val="TH Sarabun New"/>
        <family val="2"/>
      </rPr>
      <t xml:space="preserve">(NDA) </t>
    </r>
    <r>
      <rPr>
        <sz val="16"/>
        <color rgb="FF000000"/>
        <rFont val="TH Sarabun New"/>
        <family val="2"/>
      </rPr>
      <t>กับผู้ให้บริการภายนอก</t>
    </r>
  </si>
  <si>
    <t>บริการสารสนเทศ Software</t>
  </si>
  <si>
    <t>บริการ Internet</t>
  </si>
  <si>
    <t>บริการสารสนเทศ Data and Information</t>
  </si>
  <si>
    <t>บริการสารสนเทศ Hardware</t>
  </si>
  <si>
    <t>บริการสารสนเทศ Network</t>
  </si>
  <si>
    <r>
      <t xml:space="preserve">ระดับของความเสี่ยง </t>
    </r>
    <r>
      <rPr>
        <b/>
        <sz val="12"/>
        <color theme="0"/>
        <rFont val="Ubuntu"/>
        <family val="2"/>
      </rPr>
      <t>(Degree of Risk)</t>
    </r>
  </si>
  <si>
    <r>
      <t xml:space="preserve">การตอบสนองความเสี่ยง </t>
    </r>
    <r>
      <rPr>
        <b/>
        <sz val="12"/>
        <color theme="0"/>
        <rFont val="Ubuntu"/>
        <family val="2"/>
      </rPr>
      <t>(Risk Response)</t>
    </r>
  </si>
  <si>
    <t>1.ให้ปฏิบัติตาม XXX-QP-IT-003 Working in Secure Area (แนวปฏิบัติเกี่ยวกับการปฏิบัติงานในพื้นที่ที่ต้องรักษาความมั่นคงปลอดภัย )
2.ให้บันทึกตาม XXX-FM-IT-016 แบบฟอร์มตรวจเช็คระบบประจำวัน
3.ให้บันทึกตาม XXX-FM-IT-017 แบบฟอร์มตารางตรวจเช็คอุปกรณ์สนับสนุน
4.ซ้อมแผนไฟไหม้ปีละ 1 ครั้ง ที่จัดขึ้นโดยฝ่ายอาคาร The Trendy Office</t>
  </si>
  <si>
    <t>1.ให้บันทึกตาม XXX-FM-IT-031 แบบฟอร์มบันทึกการบริการของผู้ให้บริการภายนอก
2.ให้บันทึกตาม XXX-FM-IT-031 แบบฟอร์มบันทึกการบริการของผู้ให้บริการภายนอก
3.จัดทำขั้นตอนการเข้าปฏิบัติในพื้นที่ ที่รักษาความมั่นคงปลอดภัย XXX-QP-IT-003 : การปฏิบัติงานในพื้นที่ที่ต้องรักษาความมั่นคงปลอดภัย
4.จัดทำขั้นตอนการเข้าปฏิบัติในพื้นที่ ที่รักษาความมั่นคงปลอดภัย XXX-QP-IT-003 : การปฏิบัติงานในพื้นที่ที่ต้องรักษาความมั่นคงปลอดภัย
5.จัดทำตัวชี้วัดการบริการ (KPI) เพื่อประเมินการให้บริการของผู้ให้บริการภายนอก</t>
  </si>
  <si>
    <t>Risk Assessment Form  ,Risk Treatment Plan Form</t>
  </si>
  <si>
    <t>คณะกรรมการ ISMS</t>
  </si>
  <si>
    <t>รวบรวมและสรุป ความเสี่ยงด้านความมั่นคงปลอดภัย</t>
  </si>
  <si>
    <t>1. ติดตั้ง Virus / แก้ไข
2. นำเครื่องสำรองมาใช้</t>
  </si>
  <si>
    <t>1.CCTV
2.มีเครื่องสำรองทดแทน
3.แจ้งความ</t>
  </si>
  <si>
    <t>ค่าคะแนน</t>
  </si>
  <si>
    <t>ระดับความเสี่ยง</t>
  </si>
  <si>
    <t>การจัดการที่แนะนำ</t>
  </si>
  <si>
    <t>1–4</t>
  </si>
  <si>
    <t>Low</t>
  </si>
  <si>
    <t>ยอมรับความเสี่ยงได้ (Accept)</t>
  </si>
  <si>
    <t>5–9</t>
  </si>
  <si>
    <t>Medium</t>
  </si>
  <si>
    <t>ประเมินควบคุมเพิ่มเติมหากคุ้มค่า</t>
  </si>
  <si>
    <t>10–14</t>
  </si>
  <si>
    <t>High</t>
  </si>
  <si>
    <t>ควรวางแผนควบคุมและเฝ้าระวังอย่างใกล้ชิด</t>
  </si>
  <si>
    <t>15–19</t>
  </si>
  <si>
    <t>Very High</t>
  </si>
  <si>
    <t>ควบคุมทันที / มีแผนรองรับฉุกเฉิน</t>
  </si>
  <si>
    <t>20–25</t>
  </si>
  <si>
    <t>Critical</t>
  </si>
  <si>
    <t>ต้องควบคุมอย่างเร่งด่วน / ไม่สามารถยอมรับได้</t>
  </si>
  <si>
    <t>M5</t>
  </si>
  <si>
    <t>H12</t>
  </si>
  <si>
    <t>L4</t>
  </si>
  <si>
    <t>L3</t>
  </si>
  <si>
    <t>L2</t>
  </si>
  <si>
    <t>L1</t>
  </si>
  <si>
    <t>M10</t>
  </si>
  <si>
    <t>M8</t>
  </si>
  <si>
    <t>M6</t>
  </si>
  <si>
    <t>H15</t>
  </si>
  <si>
    <t>M9</t>
  </si>
  <si>
    <t>H20</t>
  </si>
  <si>
    <t>H16</t>
  </si>
  <si>
    <t>C25</t>
  </si>
  <si>
    <t>C20</t>
  </si>
  <si>
    <t>Degree</t>
  </si>
  <si>
    <t>Responsed</t>
  </si>
  <si>
    <t>16 สค 2568</t>
  </si>
  <si>
    <t>17 สค 2568</t>
  </si>
  <si>
    <t>Wanlaya</t>
  </si>
  <si>
    <t>20 สค 2568</t>
  </si>
  <si>
    <t>25 สค 2568</t>
  </si>
  <si>
    <t>เครื่องNotebook ติดไวรัส ทำให้ข้อมูลรั่วไหล ข้อมูลถูกทำลาย และใช้งานโปรแกรม ไม่ได้</t>
  </si>
  <si>
    <t>1.มีการตรวจสอบการ Update Virus โดยผู้บังคับบัญชา
2.นำ Event Log มาทบทวนและวิเคราะห์หาสาเหตุสัปดาห์ละ 1 ครั้ง</t>
  </si>
  <si>
    <t>เครื่องNotebook ถูกขโมย เนื่องจากไม่มีการควบคุมการเข้า - ออกพื้นที่</t>
  </si>
  <si>
    <t>เครื่อง Notebook ใช้งานไม่ได้เนื่องจากการตั้งค่าอุปกรณ์ไม่ถูกต้อง (Config)</t>
  </si>
  <si>
    <t>เครื่อง Notebook ใช้งานไม่ได้ เนื่องจากขาดการตรวจสอบและการบำรุงรักษาไม่เพียงพอ</t>
  </si>
  <si>
    <t>เครื่อง Notebook (เชื่อมต่อเครือข่ายภายนอก) ถูกครอบครองจากผู้ไม่ประสงค์ดี เนื่องจาก ไม่มีการป้องกันการเชื่อมต่อเครือข่ายสาธารณะ เช่น ใช้ Firewall ป้องกัน</t>
  </si>
  <si>
    <t>เครื่อง Notebook ใช้งานไม่ได้ เนื่องจากถูกเจาะระบบ (Hack) โดย Hacker หรือผู้ไม่ประสงค์ดี</t>
  </si>
  <si>
    <t>1.ให้ปฏิบัติตาม ORB-QP-IT-003 Working in Secure Area (แนวปฏิบัติเกี่ยวกับการปฏิบัติงานในพื้นที่ที่ต้องรักษาความมั่นคงปลอดภัย )
2.ให้บันทึกตาม ORB-FM-IT-016 แบบฟอร์มตรวจเช็คระบบประจำวัน
3.ให้บันทึกตาม ORB-FM-IT-017 แบบฟอร์มตารางตรวจเช็คอุปกรณ์สนับสนุน
4.ซ้อมแผนไฟไหม้ปีละ 1 ครั้ง ที่จัดขึ้นโดยฝ่ายอาคารPPM SPACE</t>
  </si>
  <si>
    <t xml:space="preserve">
- เครื่องคอมพิวเตอร์
- เครื่องสำรองไฟ (UPS)
- อุปกรณ์ดับเพลิง
- อุปกรณ์ตรวจสอบเพลิงไหม้</t>
  </si>
  <si>
    <t>Computer</t>
  </si>
  <si>
    <t>devert</t>
  </si>
  <si>
    <t>Data gip</t>
  </si>
  <si>
    <t xml:space="preserve">GitHub </t>
  </si>
  <si>
    <t>Python</t>
  </si>
  <si>
    <t>Pycharm</t>
  </si>
  <si>
    <t>Fox-pro</t>
  </si>
  <si>
    <t>Core Switch</t>
  </si>
  <si>
    <t>Cloud Key</t>
  </si>
  <si>
    <t xml:space="preserve">Routers and Wireless </t>
  </si>
  <si>
    <t>ArubaAccess Point</t>
  </si>
  <si>
    <t>บริการ Intranet UIH</t>
  </si>
  <si>
    <t>บริการ Internet Inter Link</t>
  </si>
  <si>
    <t>บริษัท ไอเน็ท (ประเทศไทย) จำกัด</t>
  </si>
  <si>
    <t>บริษัท ไอเน็กซ์ บรอดแบนด์ จำกัด</t>
  </si>
  <si>
    <t>บริษัท วัน เมล จำกัด</t>
  </si>
  <si>
    <t>Zimbra mail</t>
  </si>
  <si>
    <t>Onebox</t>
  </si>
  <si>
    <t xml:space="preserve">
1.นโยบายการเชื่อมต่อเครือข่ายภายนอก
2.มี Firewall กั้นระหว่างการเชื่อมต่อ
</t>
  </si>
  <si>
    <t>1.จัดทำแบบฟอร์มตารางตรวจเช็คระบบประจำวัน และ แบบฟอร์มตารางตรวจเช็คอุปกรณ์สนับสนุนระบบประจำวัน
- ORB-FM-IT-016 : แบบฟอร์มตารางตรวจเช็คระบบประจำวัน
- ORB-FM-IT-017 : แบบฟอร์มตารางตรวจเช็คอุปกรณ์สนับสนุนระบบประจำวัน
2.จัดทำแผน และทดสอบแผนรองรับความไม่ต่อเนื่อง (Business Continuity Management) และประชุมสรุปผลการทดสอบ</t>
  </si>
  <si>
    <r>
      <t xml:space="preserve">1.มี </t>
    </r>
    <r>
      <rPr>
        <sz val="18"/>
        <color rgb="FF222222"/>
        <rFont val="TH Sarabun New"/>
        <family val="2"/>
      </rPr>
      <t xml:space="preserve">CCTV </t>
    </r>
    <r>
      <rPr>
        <sz val="18"/>
        <color rgb="FF000000"/>
        <rFont val="TH Sarabun New"/>
        <family val="2"/>
      </rPr>
      <t xml:space="preserve">บันทึกเหตุการณ์
</t>
    </r>
  </si>
  <si>
    <t>1.นโยบายไม่ให้นำอุปกรณ์สื่อบันทึกข้อมูลแบบพกพามาเชื่อมต่อ
2.ติดตั้ง Jamf Pro มี Policy Device control
3.ติดตั้งโปรแกรม Antivirus ที่มี Auto Update</t>
  </si>
  <si>
    <t>อุปกรณ์เน็ตเวิร์ค หยุดชะงักใช้งานไม่ได้ เนื่องจากไฟฟ้าขัดข้อง และไม่มีไฟฟ้าสำรอง</t>
  </si>
  <si>
    <t>1.ผู้ให้บริการภายนอก
- มีการควบคุมและติดตามเมื่อเข้ามาในพื้นที่ให้บริการ
- มีการบันทึก Log การเข้า-ออก Network Rack โซน A (Critical)
- มีการควบคุมการเข้าออกโดย Access Control
- มีการแจ้งล่วงหน้าก่อนเข้ามาปฏิบัติงาน Network Rack โซน
2.เจ้าหน้าที่ภายใน เฉพาะผู้ได้รับสิทธิหรือผู้ที่ได้รับอนุญาต
- ได้รับอนุญาตจากเจ้าหน้าที่ฝ่าย IT
3.ระบบ CCTV บันทึกเหตุการณ์</t>
  </si>
  <si>
    <t>พนักงานของผู้ให้บริการภายนอกที่ปฏิบัติงาน ไม่มีความรู้ ความชำนาญที่เพียงพอ ทำให้ระบบหยุดชะงักหรือทำงานล่าช้า เนื่องจากไม่มีการตรวจสอบคุณสมบัติของผู้บริการภายนอกก่อนการจ้าง หรือช่วงจ้าง</t>
  </si>
  <si>
    <t>การยกเลิกสิทธิการใช้งาน ในกรณีที่พนักงานลาออก หรือ กระทำผิดร้ายแรง</t>
  </si>
  <si>
    <t>การคืนทรัพย์สินสารสนเทศ ในกรณีที่พนักงานลาออก หรือ กระทำผิดร้ายแรง</t>
  </si>
  <si>
    <t>ให้บันทึกตาม ORB-FM-IT-016 แบบฟอร์มตรวจเช็คระบบประจำวัน</t>
  </si>
  <si>
    <t xml:space="preserve"> ให้บันทึกตาม ORB-FM-IT-017 แบบฟอร์มตารางตรวจเช็คอุปกรณ์สนับสนุน</t>
  </si>
  <si>
    <t>จัดทำแบบฟอร์มตารางตรวจเช็คระบบประจำวัน และ แบบฟอร์มตารางตรวจเช็คอุปกรณ์สนับสนุนระบบประจำวัน
- ORB-FM-IT-016 : แบบฟอร์มตารางตรวจเช็คระบบประจำวัน
- ORB-FM-IT-017 : แบบฟอร์มตารางตรวจเช็คอุปกรณ์สนับสนุนระบบประจำวัน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</si>
</sst>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7" formatCode="mm/dd/yyyy"/>
    <numFmt numFmtId="188" formatCode="d&quot;-&quot;mmm&quot;-&quot;yyyy"/>
  </numFmts>
  <fonts count="71">
    <font>
      <sz val="11"/>
      <color rgb="FF000000"/>
      <name val="Calibri"/>
      <scheme val="minor"/>
    </font>
    <font>
      <sz val="11"/>
      <name val="Calibri"/>
      <family val="2"/>
    </font>
    <font>
      <sz val="12"/>
      <color rgb="FF000000"/>
      <name val="Tahoma"/>
      <family val="2"/>
    </font>
    <font>
      <sz val="10"/>
      <color rgb="FF222222"/>
      <name val="Arial"/>
      <family val="2"/>
    </font>
    <font>
      <sz val="12"/>
      <color rgb="FF000000"/>
      <name val="Ubuntu"/>
      <family val="2"/>
    </font>
    <font>
      <sz val="12"/>
      <color rgb="FF222222"/>
      <name val="Ubuntu"/>
      <family val="2"/>
    </font>
    <font>
      <sz val="11"/>
      <color rgb="FF000000"/>
      <name val="Calibri"/>
      <family val="2"/>
    </font>
    <font>
      <b/>
      <sz val="12"/>
      <color rgb="FF222222"/>
      <name val="Arial"/>
      <family val="2"/>
    </font>
    <font>
      <sz val="11"/>
      <color rgb="FF000000"/>
      <name val="TH Sarabun New"/>
      <family val="2"/>
    </font>
    <font>
      <b/>
      <sz val="16"/>
      <color rgb="FF000000"/>
      <name val="TH Sarabun New"/>
      <family val="2"/>
    </font>
    <font>
      <sz val="16"/>
      <name val="TH Sarabun New"/>
      <family val="2"/>
    </font>
    <font>
      <sz val="16"/>
      <color rgb="FF000000"/>
      <name val="TH Sarabun New"/>
      <family val="2"/>
    </font>
    <font>
      <sz val="16"/>
      <color theme="1"/>
      <name val="TH Sarabun New"/>
      <family val="2"/>
    </font>
    <font>
      <b/>
      <sz val="18"/>
      <color rgb="FF000000"/>
      <name val="TH Sarabun New"/>
      <family val="2"/>
    </font>
    <font>
      <sz val="18"/>
      <name val="TH Sarabun New"/>
      <family val="2"/>
    </font>
    <font>
      <sz val="18"/>
      <color rgb="FF000000"/>
      <name val="TH Sarabun New"/>
      <family val="2"/>
    </font>
    <font>
      <sz val="18"/>
      <color theme="1"/>
      <name val="TH Sarabun New"/>
      <family val="2"/>
    </font>
    <font>
      <b/>
      <sz val="20"/>
      <color rgb="FF000000"/>
      <name val="TH Sarabun New"/>
      <family val="2"/>
    </font>
    <font>
      <sz val="20"/>
      <name val="TH Sarabun New"/>
      <family val="2"/>
    </font>
    <font>
      <b/>
      <sz val="22"/>
      <color rgb="FF000000"/>
      <name val="TH Sarabun New"/>
      <family val="2"/>
    </font>
    <font>
      <b/>
      <sz val="24"/>
      <color rgb="FF000000"/>
      <name val="TH Sarabun New"/>
      <family val="2"/>
    </font>
    <font>
      <sz val="24"/>
      <name val="TH Sarabun New"/>
      <family val="2"/>
    </font>
    <font>
      <b/>
      <sz val="26"/>
      <color rgb="FF000000"/>
      <name val="TH Sarabun New"/>
      <family val="2"/>
    </font>
    <font>
      <sz val="26"/>
      <name val="TH Sarabun New"/>
      <family val="2"/>
    </font>
    <font>
      <sz val="22"/>
      <color rgb="FF000000"/>
      <name val="TH Sarabun New"/>
      <family val="2"/>
    </font>
    <font>
      <sz val="22"/>
      <color theme="1"/>
      <name val="TH Sarabun New"/>
      <family val="2"/>
    </font>
    <font>
      <sz val="24"/>
      <color rgb="FF000000"/>
      <name val="TH Sarabun New"/>
      <family val="2"/>
    </font>
    <font>
      <sz val="24"/>
      <color theme="1"/>
      <name val="TH Sarabun New"/>
      <family val="2"/>
    </font>
    <font>
      <b/>
      <sz val="12"/>
      <color rgb="FF000000"/>
      <name val="TH Sarabun New"/>
      <family val="2"/>
    </font>
    <font>
      <b/>
      <sz val="12"/>
      <color theme="1"/>
      <name val="TH Sarabun New"/>
      <family val="2"/>
    </font>
    <font>
      <sz val="11"/>
      <color theme="1"/>
      <name val="TH Sarabun New"/>
      <family val="2"/>
    </font>
    <font>
      <sz val="16"/>
      <color rgb="FF222222"/>
      <name val="TH Sarabun New"/>
      <family val="2"/>
    </font>
    <font>
      <b/>
      <sz val="18"/>
      <color theme="1"/>
      <name val="TH Sarabun New"/>
      <family val="2"/>
    </font>
    <font>
      <sz val="18"/>
      <color rgb="FF222222"/>
      <name val="TH Sarabun New"/>
      <family val="2"/>
    </font>
    <font>
      <sz val="18"/>
      <color rgb="FF434343"/>
      <name val="TH Sarabun New"/>
      <family val="2"/>
    </font>
    <font>
      <sz val="18"/>
      <color rgb="FFC9211E"/>
      <name val="TH Sarabun New"/>
      <family val="2"/>
    </font>
    <font>
      <b/>
      <sz val="20"/>
      <color theme="1"/>
      <name val="TH Sarabun New"/>
      <family val="2"/>
    </font>
    <font>
      <b/>
      <sz val="16"/>
      <color rgb="FF222222"/>
      <name val="TH Sarabun New"/>
      <family val="2"/>
    </font>
    <font>
      <b/>
      <sz val="11"/>
      <color theme="1"/>
      <name val="TH Sarabun New"/>
      <family val="2"/>
    </font>
    <font>
      <b/>
      <sz val="28"/>
      <color theme="1"/>
      <name val="TH Sarabun New"/>
      <family val="2"/>
    </font>
    <font>
      <b/>
      <sz val="28"/>
      <name val="TH Sarabun New"/>
      <family val="2"/>
    </font>
    <font>
      <b/>
      <sz val="28"/>
      <color theme="0"/>
      <name val="TH Sarabun New"/>
      <family val="2"/>
    </font>
    <font>
      <sz val="28"/>
      <color rgb="FF000000"/>
      <name val="TH Sarabun New"/>
      <family val="2"/>
    </font>
    <font>
      <b/>
      <sz val="48"/>
      <color theme="0"/>
      <name val="TH Sarabun New"/>
      <family val="2"/>
    </font>
    <font>
      <sz val="11"/>
      <color theme="0"/>
      <name val="Calibri"/>
      <family val="2"/>
    </font>
    <font>
      <sz val="14"/>
      <color theme="0"/>
      <name val="Tahoma"/>
      <family val="2"/>
    </font>
    <font>
      <sz val="14"/>
      <color theme="0"/>
      <name val="Calibri"/>
      <family val="2"/>
    </font>
    <font>
      <b/>
      <sz val="16"/>
      <color theme="0"/>
      <name val="Tahoma"/>
      <family val="2"/>
    </font>
    <font>
      <sz val="16"/>
      <color theme="0"/>
      <name val="Calibri"/>
      <family val="2"/>
    </font>
    <font>
      <b/>
      <sz val="22"/>
      <color theme="0"/>
      <name val="TH Sarabun New"/>
      <family val="2"/>
    </font>
    <font>
      <sz val="22"/>
      <color theme="0"/>
      <name val="TH Sarabun New"/>
      <family val="2"/>
    </font>
    <font>
      <b/>
      <sz val="12"/>
      <color theme="0"/>
      <name val="Arial"/>
      <family val="2"/>
    </font>
    <font>
      <b/>
      <sz val="12"/>
      <color theme="0"/>
      <name val="Ubuntu"/>
      <family val="2"/>
    </font>
    <font>
      <b/>
      <sz val="18"/>
      <color rgb="FFC00000"/>
      <name val="TH Sarabun New"/>
      <family val="2"/>
    </font>
    <font>
      <b/>
      <sz val="18"/>
      <name val="TH Sarabun New"/>
      <family val="2"/>
    </font>
    <font>
      <b/>
      <sz val="18"/>
      <color rgb="FF00B050"/>
      <name val="TH Sarabun New"/>
      <family val="2"/>
    </font>
    <font>
      <b/>
      <sz val="18"/>
      <color rgb="FF222222"/>
      <name val="TH Sarabun New"/>
      <family val="2"/>
    </font>
    <font>
      <b/>
      <sz val="20"/>
      <color rgb="FF222222"/>
      <name val="TH Sarabun New"/>
      <family val="2"/>
    </font>
    <font>
      <b/>
      <sz val="48"/>
      <color rgb="FFFFFFFF"/>
      <name val="TH Sarabun New"/>
      <family val="2"/>
    </font>
    <font>
      <sz val="48"/>
      <name val="TH Sarabun New"/>
      <family val="2"/>
    </font>
    <font>
      <sz val="8"/>
      <name val="Calibri"/>
      <family val="2"/>
      <scheme val="minor"/>
    </font>
    <font>
      <b/>
      <sz val="24"/>
      <color theme="0"/>
      <name val="TH Sarabun New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name val="TH Sarabun New"/>
      <family val="2"/>
    </font>
    <font>
      <sz val="22"/>
      <name val="TH Sarabun New"/>
      <family val="2"/>
    </font>
    <font>
      <b/>
      <sz val="22"/>
      <color rgb="FF0070C0"/>
      <name val="TH Sarabun New"/>
      <family val="2"/>
    </font>
    <font>
      <sz val="18"/>
      <color rgb="FFFF0000"/>
      <name val="TH Sarabun New"/>
      <family val="2"/>
    </font>
  </fonts>
  <fills count="52">
    <fill>
      <patternFill patternType="none"/>
    </fill>
    <fill>
      <patternFill patternType="gray125"/>
    </fill>
    <fill>
      <patternFill patternType="solid">
        <fgColor rgb="FF729FCF"/>
        <bgColor rgb="FF729FCF"/>
      </patternFill>
    </fill>
    <fill>
      <patternFill patternType="solid">
        <fgColor rgb="FFDEE6EF"/>
        <bgColor rgb="FFDEE6E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F200"/>
        <bgColor rgb="FFFFF200"/>
      </patternFill>
    </fill>
    <fill>
      <patternFill patternType="solid">
        <fgColor rgb="FFF10D0C"/>
        <bgColor rgb="FFF10D0C"/>
      </patternFill>
    </fill>
    <fill>
      <patternFill patternType="solid">
        <fgColor rgb="FFFF972F"/>
        <bgColor rgb="FFFF972F"/>
      </patternFill>
    </fill>
    <fill>
      <patternFill patternType="solid">
        <fgColor rgb="FFA4C2F4"/>
        <bgColor rgb="FFA4C2F4"/>
      </patternFill>
    </fill>
    <fill>
      <patternFill patternType="solid">
        <fgColor rgb="FFAFD095"/>
        <bgColor rgb="FFAFD095"/>
      </patternFill>
    </fill>
    <fill>
      <patternFill patternType="solid">
        <fgColor rgb="FFDBEEF4"/>
        <bgColor rgb="FFDBEEF4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theme="7" tint="0.59999389629810485"/>
        <bgColor rgb="FFB4C6E7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rgb="FFA4C2F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AFD095"/>
      </patternFill>
    </fill>
    <fill>
      <patternFill patternType="solid">
        <fgColor theme="9" tint="0.39997558519241921"/>
        <bgColor rgb="FFA4C2F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rgb="FFDBEEF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DBEEF4"/>
      </patternFill>
    </fill>
    <fill>
      <patternFill patternType="solid">
        <fgColor theme="7" tint="0.59999389629810485"/>
        <bgColor rgb="FFD2DCD7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DEEAF6"/>
      </patternFill>
    </fill>
    <fill>
      <patternFill patternType="solid">
        <fgColor theme="5" tint="-0.499984740745262"/>
        <bgColor rgb="FFFFC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8EB4E3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D2DCD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729FCF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rgb="FFA4C2F4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6">
    <xf numFmtId="0" fontId="0" fillId="0" borderId="0" xfId="0"/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/>
    </xf>
    <xf numFmtId="0" fontId="2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horizontal="center" vertical="top"/>
    </xf>
    <xf numFmtId="0" fontId="2" fillId="6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horizontal="center" vertical="top"/>
    </xf>
    <xf numFmtId="0" fontId="2" fillId="7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horizontal="center" vertical="top"/>
    </xf>
    <xf numFmtId="0" fontId="2" fillId="8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horizontal="center" vertical="top"/>
    </xf>
    <xf numFmtId="0" fontId="2" fillId="9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10" borderId="16" xfId="0" applyFont="1" applyFill="1" applyBorder="1" applyAlignment="1">
      <alignment horizontal="left"/>
    </xf>
    <xf numFmtId="0" fontId="3" fillId="10" borderId="1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10" borderId="20" xfId="0" applyFont="1" applyFill="1" applyBorder="1" applyAlignment="1">
      <alignment horizontal="center" vertical="top"/>
    </xf>
    <xf numFmtId="0" fontId="3" fillId="10" borderId="21" xfId="0" applyFont="1" applyFill="1" applyBorder="1" applyAlignment="1">
      <alignment horizontal="left" vertical="top"/>
    </xf>
    <xf numFmtId="0" fontId="3" fillId="10" borderId="22" xfId="0" applyFont="1" applyFill="1" applyBorder="1" applyAlignment="1">
      <alignment horizontal="left" vertical="top"/>
    </xf>
    <xf numFmtId="0" fontId="4" fillId="10" borderId="23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3" fillId="10" borderId="26" xfId="0" applyFont="1" applyFill="1" applyBorder="1" applyAlignment="1">
      <alignment horizontal="center"/>
    </xf>
    <xf numFmtId="0" fontId="4" fillId="10" borderId="27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left"/>
    </xf>
    <xf numFmtId="0" fontId="3" fillId="10" borderId="21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left"/>
    </xf>
    <xf numFmtId="0" fontId="5" fillId="13" borderId="29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8" fillId="0" borderId="0" xfId="0" applyFont="1"/>
    <xf numFmtId="0" fontId="11" fillId="0" borderId="0" xfId="0" applyFont="1"/>
    <xf numFmtId="0" fontId="15" fillId="0" borderId="0" xfId="0" applyFont="1"/>
    <xf numFmtId="0" fontId="24" fillId="0" borderId="0" xfId="0" applyFont="1"/>
    <xf numFmtId="0" fontId="26" fillId="0" borderId="0" xfId="0" applyFont="1" applyAlignment="1">
      <alignment horizontal="left"/>
    </xf>
    <xf numFmtId="0" fontId="26" fillId="0" borderId="0" xfId="0" applyFont="1"/>
    <xf numFmtId="0" fontId="26" fillId="3" borderId="4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left"/>
    </xf>
    <xf numFmtId="0" fontId="26" fillId="0" borderId="0" xfId="0" applyFont="1" applyAlignment="1">
      <alignment horizontal="center"/>
    </xf>
    <xf numFmtId="0" fontId="26" fillId="0" borderId="4" xfId="0" applyFont="1" applyBorder="1" applyAlignment="1">
      <alignment horizontal="center" vertical="top"/>
    </xf>
    <xf numFmtId="0" fontId="26" fillId="0" borderId="6" xfId="0" applyFont="1" applyBorder="1" applyAlignment="1">
      <alignment horizontal="left" vertical="top"/>
    </xf>
    <xf numFmtId="0" fontId="26" fillId="0" borderId="6" xfId="0" applyFont="1" applyBorder="1" applyAlignment="1">
      <alignment horizontal="center" vertical="top"/>
    </xf>
    <xf numFmtId="0" fontId="9" fillId="10" borderId="16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21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5" borderId="32" xfId="0" applyFont="1" applyFill="1" applyBorder="1" applyAlignment="1">
      <alignment horizontal="center" vertical="top" wrapText="1"/>
    </xf>
    <xf numFmtId="0" fontId="13" fillId="16" borderId="32" xfId="0" applyFont="1" applyFill="1" applyBorder="1" applyAlignment="1">
      <alignment horizontal="center" vertical="top" wrapText="1"/>
    </xf>
    <xf numFmtId="0" fontId="16" fillId="15" borderId="34" xfId="0" applyFont="1" applyFill="1" applyBorder="1" applyAlignment="1">
      <alignment vertical="top" wrapText="1"/>
    </xf>
    <xf numFmtId="0" fontId="16" fillId="15" borderId="13" xfId="0" applyFont="1" applyFill="1" applyBorder="1" applyAlignment="1">
      <alignment vertical="top" wrapText="1"/>
    </xf>
    <xf numFmtId="0" fontId="16" fillId="15" borderId="13" xfId="0" applyFont="1" applyFill="1" applyBorder="1" applyAlignment="1">
      <alignment horizontal="center" vertical="top" wrapText="1"/>
    </xf>
    <xf numFmtId="0" fontId="16" fillId="16" borderId="13" xfId="0" applyFont="1" applyFill="1" applyBorder="1" applyAlignment="1">
      <alignment vertical="top" wrapText="1"/>
    </xf>
    <xf numFmtId="0" fontId="16" fillId="15" borderId="6" xfId="0" applyFont="1" applyFill="1" applyBorder="1" applyAlignment="1">
      <alignment vertical="top" wrapText="1"/>
    </xf>
    <xf numFmtId="0" fontId="16" fillId="15" borderId="4" xfId="0" applyFont="1" applyFill="1" applyBorder="1" applyAlignment="1">
      <alignment vertical="top" wrapText="1"/>
    </xf>
    <xf numFmtId="0" fontId="16" fillId="15" borderId="4" xfId="0" applyFont="1" applyFill="1" applyBorder="1" applyAlignment="1">
      <alignment horizontal="center" vertical="top" wrapText="1"/>
    </xf>
    <xf numFmtId="0" fontId="13" fillId="15" borderId="8" xfId="0" applyFont="1" applyFill="1" applyBorder="1" applyAlignment="1">
      <alignment horizontal="center" vertical="top" wrapText="1"/>
    </xf>
    <xf numFmtId="0" fontId="13" fillId="16" borderId="8" xfId="0" applyFont="1" applyFill="1" applyBorder="1" applyAlignment="1">
      <alignment horizontal="center" vertical="top" wrapText="1"/>
    </xf>
    <xf numFmtId="0" fontId="16" fillId="16" borderId="4" xfId="0" applyFont="1" applyFill="1" applyBorder="1" applyAlignment="1">
      <alignment vertical="top" wrapText="1"/>
    </xf>
    <xf numFmtId="0" fontId="15" fillId="0" borderId="4" xfId="0" applyFont="1" applyBorder="1" applyAlignment="1">
      <alignment horizontal="center" vertical="top" wrapText="1"/>
    </xf>
    <xf numFmtId="0" fontId="33" fillId="10" borderId="8" xfId="0" applyFont="1" applyFill="1" applyBorder="1" applyAlignment="1">
      <alignment horizontal="left" vertical="top" wrapText="1"/>
    </xf>
    <xf numFmtId="0" fontId="15" fillId="10" borderId="8" xfId="0" applyFont="1" applyFill="1" applyBorder="1" applyAlignment="1">
      <alignment horizontal="center" vertical="top" wrapText="1"/>
    </xf>
    <xf numFmtId="0" fontId="15" fillId="10" borderId="8" xfId="0" applyFont="1" applyFill="1" applyBorder="1" applyAlignment="1">
      <alignment horizontal="left" vertical="top" wrapText="1"/>
    </xf>
    <xf numFmtId="1" fontId="15" fillId="10" borderId="8" xfId="0" applyNumberFormat="1" applyFont="1" applyFill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6" fillId="10" borderId="8" xfId="0" applyFont="1" applyFill="1" applyBorder="1" applyAlignment="1">
      <alignment horizontal="left" vertical="top" wrapText="1"/>
    </xf>
    <xf numFmtId="0" fontId="33" fillId="10" borderId="8" xfId="0" applyFont="1" applyFill="1" applyBorder="1" applyAlignment="1">
      <alignment horizontal="center" vertical="top" wrapText="1"/>
    </xf>
    <xf numFmtId="0" fontId="15" fillId="10" borderId="5" xfId="0" applyFont="1" applyFill="1" applyBorder="1" applyAlignment="1">
      <alignment horizontal="center" vertical="top"/>
    </xf>
    <xf numFmtId="0" fontId="16" fillId="0" borderId="4" xfId="0" applyFont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top"/>
    </xf>
    <xf numFmtId="0" fontId="16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top" wrapText="1"/>
    </xf>
    <xf numFmtId="0" fontId="33" fillId="0" borderId="8" xfId="0" applyFont="1" applyBorder="1" applyAlignment="1">
      <alignment horizontal="center" vertical="top" wrapText="1"/>
    </xf>
    <xf numFmtId="0" fontId="16" fillId="0" borderId="0" xfId="0" applyFont="1" applyAlignment="1">
      <alignment horizontal="left" vertical="top"/>
    </xf>
    <xf numFmtId="0" fontId="33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5" fillId="0" borderId="8" xfId="0" applyFont="1" applyBorder="1" applyAlignment="1">
      <alignment horizontal="center" vertical="top"/>
    </xf>
    <xf numFmtId="0" fontId="34" fillId="10" borderId="8" xfId="0" applyFont="1" applyFill="1" applyBorder="1" applyAlignment="1">
      <alignment horizontal="center" vertical="top"/>
    </xf>
    <xf numFmtId="0" fontId="34" fillId="10" borderId="8" xfId="0" applyFont="1" applyFill="1" applyBorder="1" applyAlignment="1">
      <alignment horizontal="center" vertical="top" wrapText="1"/>
    </xf>
    <xf numFmtId="0" fontId="15" fillId="0" borderId="8" xfId="0" applyFont="1" applyBorder="1" applyAlignment="1">
      <alignment vertical="top" wrapText="1"/>
    </xf>
    <xf numFmtId="0" fontId="33" fillId="0" borderId="3" xfId="0" applyFont="1" applyBorder="1" applyAlignment="1">
      <alignment horizontal="center" vertical="top"/>
    </xf>
    <xf numFmtId="0" fontId="33" fillId="0" borderId="3" xfId="0" applyFont="1" applyBorder="1" applyAlignment="1">
      <alignment horizontal="center" vertical="top" wrapText="1"/>
    </xf>
    <xf numFmtId="0" fontId="35" fillId="10" borderId="8" xfId="0" applyFont="1" applyFill="1" applyBorder="1" applyAlignment="1">
      <alignment horizontal="left" vertical="top" wrapText="1"/>
    </xf>
    <xf numFmtId="0" fontId="35" fillId="0" borderId="8" xfId="0" applyFont="1" applyBorder="1" applyAlignment="1">
      <alignment horizontal="center" vertical="top" wrapText="1"/>
    </xf>
    <xf numFmtId="0" fontId="33" fillId="0" borderId="8" xfId="0" applyFont="1" applyBorder="1" applyAlignment="1">
      <alignment vertical="top" wrapText="1"/>
    </xf>
    <xf numFmtId="0" fontId="15" fillId="10" borderId="8" xfId="0" applyFont="1" applyFill="1" applyBorder="1" applyAlignment="1">
      <alignment vertical="top" wrapText="1"/>
    </xf>
    <xf numFmtId="0" fontId="33" fillId="0" borderId="6" xfId="0" applyFont="1" applyBorder="1" applyAlignment="1">
      <alignment horizontal="left" vertical="top" wrapText="1"/>
    </xf>
    <xf numFmtId="0" fontId="15" fillId="10" borderId="36" xfId="0" applyFont="1" applyFill="1" applyBorder="1" applyAlignment="1">
      <alignment horizontal="center" vertical="top" wrapText="1"/>
    </xf>
    <xf numFmtId="0" fontId="15" fillId="10" borderId="36" xfId="0" applyFont="1" applyFill="1" applyBorder="1" applyAlignment="1">
      <alignment horizontal="left" vertical="top" wrapText="1"/>
    </xf>
    <xf numFmtId="0" fontId="33" fillId="10" borderId="36" xfId="0" applyFont="1" applyFill="1" applyBorder="1" applyAlignment="1">
      <alignment horizontal="center" vertical="top" wrapText="1"/>
    </xf>
    <xf numFmtId="0" fontId="16" fillId="10" borderId="36" xfId="0" applyFont="1" applyFill="1" applyBorder="1" applyAlignment="1">
      <alignment horizontal="left" vertical="top" wrapText="1"/>
    </xf>
    <xf numFmtId="0" fontId="33" fillId="10" borderId="36" xfId="0" applyFont="1" applyFill="1" applyBorder="1" applyAlignment="1">
      <alignment horizontal="left" vertical="top" wrapText="1"/>
    </xf>
    <xf numFmtId="0" fontId="16" fillId="0" borderId="36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left" vertical="top" wrapText="1"/>
    </xf>
    <xf numFmtId="0" fontId="33" fillId="0" borderId="6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left" vertical="top" wrapText="1"/>
    </xf>
    <xf numFmtId="0" fontId="33" fillId="0" borderId="6" xfId="0" applyFont="1" applyBorder="1" applyAlignment="1">
      <alignment vertical="top" wrapText="1"/>
    </xf>
    <xf numFmtId="0" fontId="15" fillId="10" borderId="37" xfId="0" applyFont="1" applyFill="1" applyBorder="1" applyAlignment="1">
      <alignment horizontal="center" vertical="top"/>
    </xf>
    <xf numFmtId="0" fontId="16" fillId="0" borderId="38" xfId="0" applyFont="1" applyBorder="1" applyAlignment="1">
      <alignment horizontal="center" vertical="center" wrapText="1"/>
    </xf>
    <xf numFmtId="0" fontId="33" fillId="10" borderId="0" xfId="0" applyFont="1" applyFill="1" applyAlignment="1">
      <alignment horizontal="center" vertical="top" wrapText="1"/>
    </xf>
    <xf numFmtId="0" fontId="15" fillId="0" borderId="12" xfId="0" applyFont="1" applyBorder="1" applyAlignment="1">
      <alignment horizontal="center" vertical="top" wrapText="1"/>
    </xf>
    <xf numFmtId="0" fontId="15" fillId="0" borderId="37" xfId="0" applyFont="1" applyBorder="1" applyAlignment="1">
      <alignment horizontal="center" vertical="top" wrapText="1"/>
    </xf>
    <xf numFmtId="0" fontId="33" fillId="10" borderId="0" xfId="0" applyFont="1" applyFill="1" applyAlignment="1">
      <alignment horizontal="left" vertical="top" wrapText="1"/>
    </xf>
    <xf numFmtId="0" fontId="15" fillId="10" borderId="0" xfId="0" applyFont="1" applyFill="1" applyAlignment="1">
      <alignment horizontal="left" vertical="top" wrapText="1"/>
    </xf>
    <xf numFmtId="0" fontId="15" fillId="0" borderId="0" xfId="0" applyFont="1" applyAlignment="1">
      <alignment horizontal="center" vertical="top" wrapText="1"/>
    </xf>
    <xf numFmtId="0" fontId="15" fillId="10" borderId="0" xfId="0" applyFont="1" applyFill="1" applyAlignment="1">
      <alignment horizontal="center" vertical="top" wrapText="1"/>
    </xf>
    <xf numFmtId="0" fontId="16" fillId="10" borderId="0" xfId="0" applyFont="1" applyFill="1" applyAlignment="1">
      <alignment horizontal="left" vertical="top" wrapText="1"/>
    </xf>
    <xf numFmtId="0" fontId="33" fillId="0" borderId="0" xfId="0" applyFont="1" applyAlignment="1">
      <alignment horizontal="center" vertical="top" wrapText="1"/>
    </xf>
    <xf numFmtId="0" fontId="15" fillId="10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center" wrapText="1"/>
    </xf>
    <xf numFmtId="0" fontId="19" fillId="15" borderId="31" xfId="0" applyFont="1" applyFill="1" applyBorder="1" applyAlignment="1">
      <alignment horizontal="center" vertical="top" wrapText="1"/>
    </xf>
    <xf numFmtId="0" fontId="17" fillId="15" borderId="32" xfId="0" applyFont="1" applyFill="1" applyBorder="1" applyAlignment="1">
      <alignment horizontal="center" vertical="top" wrapText="1"/>
    </xf>
    <xf numFmtId="0" fontId="19" fillId="15" borderId="32" xfId="0" applyFont="1" applyFill="1" applyBorder="1" applyAlignment="1">
      <alignment horizontal="center" vertical="top" wrapText="1"/>
    </xf>
    <xf numFmtId="0" fontId="20" fillId="15" borderId="32" xfId="0" applyFont="1" applyFill="1" applyBorder="1" applyAlignment="1">
      <alignment horizontal="center" vertical="top" wrapText="1"/>
    </xf>
    <xf numFmtId="0" fontId="36" fillId="15" borderId="32" xfId="0" applyFont="1" applyFill="1" applyBorder="1" applyAlignment="1">
      <alignment horizontal="center" vertical="top" wrapText="1"/>
    </xf>
    <xf numFmtId="0" fontId="13" fillId="27" borderId="32" xfId="0" applyFont="1" applyFill="1" applyBorder="1" applyAlignment="1">
      <alignment horizontal="center" vertical="top" wrapText="1"/>
    </xf>
    <xf numFmtId="0" fontId="16" fillId="27" borderId="13" xfId="0" applyFont="1" applyFill="1" applyBorder="1" applyAlignment="1">
      <alignment vertical="top" wrapText="1"/>
    </xf>
    <xf numFmtId="0" fontId="16" fillId="27" borderId="4" xfId="0" applyFont="1" applyFill="1" applyBorder="1" applyAlignment="1">
      <alignment vertical="top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49" fontId="31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1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18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0" fontId="11" fillId="0" borderId="3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2" fillId="0" borderId="38" xfId="0" applyFont="1" applyBorder="1" applyAlignment="1">
      <alignment vertical="center" wrapText="1"/>
    </xf>
    <xf numFmtId="0" fontId="31" fillId="0" borderId="13" xfId="0" applyFont="1" applyBorder="1" applyAlignment="1">
      <alignment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center" vertical="center" wrapText="1"/>
    </xf>
    <xf numFmtId="0" fontId="37" fillId="0" borderId="46" xfId="0" applyFont="1" applyBorder="1" applyAlignment="1">
      <alignment horizontal="center" vertical="center" wrapText="1"/>
    </xf>
    <xf numFmtId="0" fontId="37" fillId="19" borderId="46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 wrapText="1"/>
    </xf>
    <xf numFmtId="0" fontId="37" fillId="18" borderId="46" xfId="0" applyFont="1" applyFill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left" vertical="center" wrapText="1"/>
    </xf>
    <xf numFmtId="0" fontId="31" fillId="0" borderId="49" xfId="0" applyFont="1" applyBorder="1" applyAlignment="1">
      <alignment horizontal="center" vertical="center" wrapText="1"/>
    </xf>
    <xf numFmtId="0" fontId="37" fillId="18" borderId="38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3" xfId="0" applyFont="1" applyBorder="1" applyAlignment="1">
      <alignment vertical="center" wrapText="1"/>
    </xf>
    <xf numFmtId="0" fontId="31" fillId="0" borderId="4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51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wrapText="1"/>
    </xf>
    <xf numFmtId="0" fontId="12" fillId="0" borderId="47" xfId="0" applyFont="1" applyBorder="1" applyAlignment="1">
      <alignment vertical="center" wrapText="1"/>
    </xf>
    <xf numFmtId="0" fontId="31" fillId="0" borderId="47" xfId="0" applyFont="1" applyBorder="1" applyAlignment="1">
      <alignment horizontal="center" vertical="center" wrapText="1"/>
    </xf>
    <xf numFmtId="0" fontId="12" fillId="0" borderId="35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left" vertical="center"/>
    </xf>
    <xf numFmtId="0" fontId="11" fillId="0" borderId="47" xfId="0" applyFont="1" applyBorder="1" applyAlignment="1">
      <alignment horizontal="center" vertical="center"/>
    </xf>
    <xf numFmtId="0" fontId="31" fillId="0" borderId="47" xfId="0" applyFont="1" applyBorder="1" applyAlignment="1">
      <alignment horizontal="left" vertical="center" wrapText="1"/>
    </xf>
    <xf numFmtId="0" fontId="31" fillId="0" borderId="47" xfId="0" applyFont="1" applyBorder="1" applyAlignment="1">
      <alignment horizontal="center" vertical="center"/>
    </xf>
    <xf numFmtId="0" fontId="31" fillId="0" borderId="47" xfId="0" applyFont="1" applyBorder="1" applyAlignment="1">
      <alignment horizontal="left" vertical="center"/>
    </xf>
    <xf numFmtId="0" fontId="31" fillId="10" borderId="6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center" vertical="center"/>
    </xf>
    <xf numFmtId="0" fontId="31" fillId="10" borderId="47" xfId="0" applyFont="1" applyFill="1" applyBorder="1" applyAlignment="1">
      <alignment horizontal="left" vertical="center" wrapText="1"/>
    </xf>
    <xf numFmtId="0" fontId="11" fillId="10" borderId="37" xfId="0" applyFont="1" applyFill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wrapText="1"/>
    </xf>
    <xf numFmtId="0" fontId="31" fillId="0" borderId="52" xfId="0" applyFont="1" applyBorder="1" applyAlignment="1">
      <alignment horizontal="left" vertical="center" wrapText="1"/>
    </xf>
    <xf numFmtId="0" fontId="31" fillId="0" borderId="52" xfId="0" applyFont="1" applyBorder="1" applyAlignment="1">
      <alignment horizontal="center" vertical="center" wrapText="1"/>
    </xf>
    <xf numFmtId="0" fontId="31" fillId="0" borderId="53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54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1" fillId="0" borderId="55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48" xfId="0" applyFont="1" applyBorder="1" applyAlignment="1">
      <alignment horizontal="center" vertical="center"/>
    </xf>
    <xf numFmtId="0" fontId="11" fillId="0" borderId="47" xfId="0" applyFont="1" applyBorder="1" applyAlignment="1">
      <alignment horizontal="left" vertical="center" wrapText="1"/>
    </xf>
    <xf numFmtId="0" fontId="37" fillId="19" borderId="3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14" fontId="31" fillId="0" borderId="0" xfId="0" applyNumberFormat="1" applyFont="1" applyAlignment="1">
      <alignment horizontal="center" vertical="center" wrapText="1"/>
    </xf>
    <xf numFmtId="14" fontId="31" fillId="0" borderId="0" xfId="0" applyNumberFormat="1" applyFont="1" applyAlignment="1">
      <alignment vertical="center" wrapText="1"/>
    </xf>
    <xf numFmtId="0" fontId="37" fillId="30" borderId="38" xfId="0" applyFont="1" applyFill="1" applyBorder="1" applyAlignment="1">
      <alignment horizontal="center" vertical="center" wrapText="1"/>
    </xf>
    <xf numFmtId="0" fontId="37" fillId="32" borderId="38" xfId="0" applyFont="1" applyFill="1" applyBorder="1" applyAlignment="1">
      <alignment horizontal="center" vertical="center" wrapText="1"/>
    </xf>
    <xf numFmtId="0" fontId="26" fillId="33" borderId="56" xfId="0" applyFont="1" applyFill="1" applyBorder="1" applyAlignment="1">
      <alignment horizontal="center" vertical="center" wrapText="1" shrinkToFit="1"/>
    </xf>
    <xf numFmtId="0" fontId="20" fillId="33" borderId="56" xfId="0" applyFont="1" applyFill="1" applyBorder="1" applyAlignment="1">
      <alignment horizontal="left" vertical="center" wrapText="1" shrinkToFit="1"/>
    </xf>
    <xf numFmtId="0" fontId="20" fillId="33" borderId="56" xfId="0" applyFont="1" applyFill="1" applyBorder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 shrinkToFit="1"/>
    </xf>
    <xf numFmtId="0" fontId="26" fillId="0" borderId="0" xfId="0" applyFont="1" applyAlignment="1">
      <alignment wrapText="1" shrinkToFit="1"/>
    </xf>
    <xf numFmtId="0" fontId="27" fillId="0" borderId="56" xfId="0" applyFont="1" applyBorder="1" applyAlignment="1">
      <alignment horizontal="center" vertical="center" wrapText="1" shrinkToFit="1"/>
    </xf>
    <xf numFmtId="0" fontId="27" fillId="0" borderId="56" xfId="0" applyFont="1" applyBorder="1" applyAlignment="1">
      <alignment horizontal="left" vertical="center" wrapText="1" shrinkToFit="1"/>
    </xf>
    <xf numFmtId="0" fontId="27" fillId="0" borderId="56" xfId="0" applyFont="1" applyBorder="1" applyAlignment="1">
      <alignment horizontal="left" vertical="top" wrapText="1" shrinkToFit="1"/>
    </xf>
    <xf numFmtId="0" fontId="26" fillId="0" borderId="0" xfId="0" applyFont="1" applyAlignment="1">
      <alignment horizontal="left" vertical="center" wrapText="1" shrinkToFit="1"/>
    </xf>
    <xf numFmtId="0" fontId="27" fillId="0" borderId="0" xfId="0" applyFont="1" applyAlignment="1">
      <alignment horizontal="left" vertical="top" wrapText="1" shrinkToFit="1"/>
    </xf>
    <xf numFmtId="0" fontId="27" fillId="0" borderId="0" xfId="0" applyFont="1" applyAlignment="1">
      <alignment horizontal="left" vertical="center" wrapText="1" shrinkToFit="1"/>
    </xf>
    <xf numFmtId="0" fontId="26" fillId="0" borderId="0" xfId="0" applyFont="1" applyAlignment="1">
      <alignment horizontal="left" vertical="top" wrapText="1" shrinkToFit="1"/>
    </xf>
    <xf numFmtId="0" fontId="26" fillId="0" borderId="0" xfId="0" applyFont="1" applyAlignment="1">
      <alignment horizontal="left" wrapText="1" shrinkToFit="1"/>
    </xf>
    <xf numFmtId="0" fontId="16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10" borderId="8" xfId="0" applyFont="1" applyFill="1" applyBorder="1" applyAlignment="1">
      <alignment horizontal="left" vertical="center"/>
    </xf>
    <xf numFmtId="0" fontId="25" fillId="0" borderId="8" xfId="0" applyFont="1" applyBorder="1" applyAlignment="1">
      <alignment horizontal="left" vertical="center" wrapText="1"/>
    </xf>
    <xf numFmtId="0" fontId="25" fillId="10" borderId="8" xfId="0" applyFont="1" applyFill="1" applyBorder="1" applyAlignment="1">
      <alignment horizontal="left" vertical="center" wrapText="1"/>
    </xf>
    <xf numFmtId="0" fontId="25" fillId="0" borderId="8" xfId="0" applyFont="1" applyBorder="1"/>
    <xf numFmtId="0" fontId="24" fillId="10" borderId="8" xfId="0" applyFont="1" applyFill="1" applyBorder="1" applyAlignment="1">
      <alignment horizontal="left" vertical="top"/>
    </xf>
    <xf numFmtId="0" fontId="24" fillId="10" borderId="8" xfId="0" applyFont="1" applyFill="1" applyBorder="1" applyAlignment="1">
      <alignment horizontal="left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41" fillId="20" borderId="8" xfId="0" applyFont="1" applyFill="1" applyBorder="1" applyAlignment="1">
      <alignment horizontal="center" vertical="center"/>
    </xf>
    <xf numFmtId="0" fontId="41" fillId="21" borderId="8" xfId="0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0" xfId="0" applyFont="1"/>
    <xf numFmtId="0" fontId="43" fillId="2" borderId="8" xfId="0" applyFont="1" applyFill="1" applyBorder="1" applyAlignment="1">
      <alignment horizontal="center" vertical="center"/>
    </xf>
    <xf numFmtId="0" fontId="28" fillId="0" borderId="0" xfId="0" applyFont="1"/>
    <xf numFmtId="0" fontId="29" fillId="23" borderId="0" xfId="0" applyFont="1" applyFill="1"/>
    <xf numFmtId="0" fontId="30" fillId="0" borderId="56" xfId="0" applyFont="1" applyBorder="1"/>
    <xf numFmtId="0" fontId="38" fillId="23" borderId="56" xfId="0" applyFont="1" applyFill="1" applyBorder="1"/>
    <xf numFmtId="0" fontId="30" fillId="34" borderId="56" xfId="0" applyFont="1" applyFill="1" applyBorder="1"/>
    <xf numFmtId="0" fontId="38" fillId="34" borderId="56" xfId="0" applyFont="1" applyFill="1" applyBorder="1" applyAlignment="1">
      <alignment horizontal="center"/>
    </xf>
    <xf numFmtId="0" fontId="29" fillId="34" borderId="56" xfId="0" applyFont="1" applyFill="1" applyBorder="1" applyAlignment="1">
      <alignment horizontal="center"/>
    </xf>
    <xf numFmtId="0" fontId="13" fillId="0" borderId="0" xfId="0" applyFont="1"/>
    <xf numFmtId="0" fontId="32" fillId="0" borderId="56" xfId="0" applyFont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0" fontId="32" fillId="0" borderId="64" xfId="0" applyFont="1" applyBorder="1" applyAlignment="1">
      <alignment horizontal="center" vertical="center"/>
    </xf>
    <xf numFmtId="0" fontId="32" fillId="0" borderId="65" xfId="0" applyFont="1" applyBorder="1" applyAlignment="1">
      <alignment horizontal="center" vertical="center"/>
    </xf>
    <xf numFmtId="0" fontId="32" fillId="0" borderId="61" xfId="0" applyFont="1" applyBorder="1" applyAlignment="1">
      <alignment horizontal="left" vertical="center"/>
    </xf>
    <xf numFmtId="0" fontId="32" fillId="0" borderId="63" xfId="0" applyFont="1" applyBorder="1" applyAlignment="1">
      <alignment horizontal="left" vertical="center"/>
    </xf>
    <xf numFmtId="0" fontId="2" fillId="35" borderId="8" xfId="0" applyFont="1" applyFill="1" applyBorder="1" applyAlignment="1">
      <alignment horizontal="center" wrapText="1"/>
    </xf>
    <xf numFmtId="0" fontId="2" fillId="35" borderId="8" xfId="0" applyFont="1" applyFill="1" applyBorder="1" applyAlignment="1">
      <alignment horizontal="center" vertical="top"/>
    </xf>
    <xf numFmtId="0" fontId="2" fillId="35" borderId="8" xfId="0" applyFont="1" applyFill="1" applyBorder="1" applyAlignment="1">
      <alignment horizontal="center" vertical="center" wrapText="1"/>
    </xf>
    <xf numFmtId="0" fontId="2" fillId="35" borderId="8" xfId="0" applyFont="1" applyFill="1" applyBorder="1" applyAlignment="1">
      <alignment vertical="center" wrapText="1"/>
    </xf>
    <xf numFmtId="0" fontId="3" fillId="10" borderId="16" xfId="0" applyFont="1" applyFill="1" applyBorder="1" applyAlignment="1">
      <alignment horizontal="left" vertical="center"/>
    </xf>
    <xf numFmtId="0" fontId="3" fillId="10" borderId="1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3" fillId="10" borderId="16" xfId="0" applyFont="1" applyFill="1" applyBorder="1" applyAlignment="1">
      <alignment horizontal="center"/>
    </xf>
    <xf numFmtId="0" fontId="13" fillId="46" borderId="32" xfId="0" applyFont="1" applyFill="1" applyBorder="1" applyAlignment="1">
      <alignment horizontal="center" vertical="top" wrapText="1"/>
    </xf>
    <xf numFmtId="0" fontId="13" fillId="47" borderId="32" xfId="0" applyFont="1" applyFill="1" applyBorder="1" applyAlignment="1">
      <alignment horizontal="center" vertical="top" wrapText="1"/>
    </xf>
    <xf numFmtId="1" fontId="15" fillId="48" borderId="8" xfId="0" applyNumberFormat="1" applyFont="1" applyFill="1" applyBorder="1" applyAlignment="1">
      <alignment horizontal="center" vertical="top" wrapText="1"/>
    </xf>
    <xf numFmtId="0" fontId="33" fillId="43" borderId="8" xfId="0" applyFont="1" applyFill="1" applyBorder="1" applyAlignment="1">
      <alignment horizontal="center" vertical="top" wrapText="1"/>
    </xf>
    <xf numFmtId="187" fontId="26" fillId="0" borderId="8" xfId="0" quotePrefix="1" applyNumberFormat="1" applyFont="1" applyBorder="1" applyAlignment="1">
      <alignment horizontal="center" vertical="top"/>
    </xf>
    <xf numFmtId="0" fontId="19" fillId="3" borderId="8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64" fillId="49" borderId="56" xfId="0" applyFont="1" applyFill="1" applyBorder="1" applyAlignment="1">
      <alignment horizontal="center"/>
    </xf>
    <xf numFmtId="0" fontId="64" fillId="50" borderId="56" xfId="0" applyFont="1" applyFill="1" applyBorder="1" applyAlignment="1">
      <alignment horizontal="center"/>
    </xf>
    <xf numFmtId="0" fontId="63" fillId="0" borderId="0" xfId="0" applyFont="1" applyAlignment="1">
      <alignment horizontal="left" vertical="top"/>
    </xf>
    <xf numFmtId="0" fontId="64" fillId="50" borderId="0" xfId="0" applyFont="1" applyFill="1" applyAlignment="1">
      <alignment horizontal="left" vertical="top"/>
    </xf>
    <xf numFmtId="0" fontId="62" fillId="50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43" borderId="0" xfId="0" applyFill="1" applyAlignment="1">
      <alignment horizontal="left" vertical="top"/>
    </xf>
    <xf numFmtId="0" fontId="63" fillId="43" borderId="0" xfId="0" applyFont="1" applyFill="1" applyAlignment="1">
      <alignment horizontal="left" vertical="top"/>
    </xf>
    <xf numFmtId="0" fontId="0" fillId="25" borderId="0" xfId="0" applyFill="1" applyAlignment="1">
      <alignment horizontal="left" vertical="top"/>
    </xf>
    <xf numFmtId="0" fontId="63" fillId="25" borderId="0" xfId="0" applyFont="1" applyFill="1" applyAlignment="1">
      <alignment horizontal="left" vertical="top"/>
    </xf>
    <xf numFmtId="0" fontId="64" fillId="49" borderId="0" xfId="0" applyFont="1" applyFill="1" applyAlignment="1">
      <alignment horizontal="left" vertical="top"/>
    </xf>
    <xf numFmtId="0" fontId="62" fillId="49" borderId="0" xfId="0" applyFont="1" applyFill="1" applyAlignment="1">
      <alignment horizontal="left" vertical="top"/>
    </xf>
    <xf numFmtId="0" fontId="65" fillId="43" borderId="56" xfId="0" applyFont="1" applyFill="1" applyBorder="1" applyAlignment="1">
      <alignment horizontal="center"/>
    </xf>
    <xf numFmtId="0" fontId="65" fillId="25" borderId="56" xfId="0" applyFont="1" applyFill="1" applyBorder="1" applyAlignment="1">
      <alignment horizontal="center"/>
    </xf>
    <xf numFmtId="0" fontId="66" fillId="0" borderId="56" xfId="0" applyFont="1" applyBorder="1" applyAlignment="1">
      <alignment horizontal="left" vertical="top"/>
    </xf>
    <xf numFmtId="0" fontId="0" fillId="0" borderId="56" xfId="0" applyBorder="1"/>
    <xf numFmtId="0" fontId="65" fillId="0" borderId="56" xfId="0" applyFont="1" applyBorder="1"/>
    <xf numFmtId="0" fontId="65" fillId="51" borderId="0" xfId="0" applyFont="1" applyFill="1"/>
    <xf numFmtId="0" fontId="38" fillId="34" borderId="58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8" fillId="34" borderId="60" xfId="0" applyFont="1" applyFill="1" applyBorder="1" applyAlignment="1">
      <alignment horizontal="center" vertical="center"/>
    </xf>
    <xf numFmtId="187" fontId="26" fillId="0" borderId="32" xfId="0" applyNumberFormat="1" applyFont="1" applyBorder="1" applyAlignment="1">
      <alignment horizontal="center" vertical="top"/>
    </xf>
    <xf numFmtId="0" fontId="68" fillId="0" borderId="3" xfId="0" applyFont="1" applyBorder="1"/>
    <xf numFmtId="0" fontId="24" fillId="0" borderId="0" xfId="0" applyFont="1" applyAlignment="1">
      <alignment vertical="top"/>
    </xf>
    <xf numFmtId="0" fontId="69" fillId="4" borderId="8" xfId="0" applyFont="1" applyFill="1" applyBorder="1" applyAlignment="1">
      <alignment horizontal="left" vertical="center" wrapText="1"/>
    </xf>
    <xf numFmtId="0" fontId="19" fillId="22" borderId="8" xfId="0" applyFont="1" applyFill="1" applyBorder="1" applyAlignment="1">
      <alignment horizontal="left" vertical="center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/>
    </xf>
    <xf numFmtId="0" fontId="19" fillId="3" borderId="3" xfId="0" applyFont="1" applyFill="1" applyBorder="1" applyAlignment="1">
      <alignment horizontal="center" vertical="center" wrapText="1"/>
    </xf>
    <xf numFmtId="0" fontId="66" fillId="0" borderId="56" xfId="0" applyFont="1" applyBorder="1" applyAlignment="1">
      <alignment horizontal="left" vertical="top" shrinkToFit="1"/>
    </xf>
    <xf numFmtId="0" fontId="0" fillId="0" borderId="56" xfId="0" applyBorder="1" applyAlignment="1">
      <alignment shrinkToFit="1"/>
    </xf>
    <xf numFmtId="0" fontId="70" fillId="10" borderId="8" xfId="0" applyFont="1" applyFill="1" applyBorder="1" applyAlignment="1">
      <alignment horizontal="left" vertical="top" wrapText="1"/>
    </xf>
    <xf numFmtId="0" fontId="26" fillId="0" borderId="32" xfId="0" applyFont="1" applyBorder="1" applyAlignment="1">
      <alignment horizontal="left" vertical="top" wrapText="1" shrinkToFit="1"/>
    </xf>
    <xf numFmtId="0" fontId="26" fillId="0" borderId="29" xfId="0" applyFont="1" applyBorder="1" applyAlignment="1">
      <alignment horizontal="left" vertical="top" wrapText="1" shrinkToFit="1"/>
    </xf>
    <xf numFmtId="187" fontId="26" fillId="0" borderId="32" xfId="0" applyNumberFormat="1" applyFont="1" applyBorder="1" applyAlignment="1">
      <alignment horizontal="center" vertical="top"/>
    </xf>
    <xf numFmtId="187" fontId="26" fillId="0" borderId="29" xfId="0" applyNumberFormat="1" applyFont="1" applyBorder="1" applyAlignment="1">
      <alignment horizontal="center" vertical="top"/>
    </xf>
    <xf numFmtId="0" fontId="26" fillId="0" borderId="32" xfId="0" applyFont="1" applyBorder="1" applyAlignment="1">
      <alignment horizontal="center" vertical="top"/>
    </xf>
    <xf numFmtId="0" fontId="26" fillId="0" borderId="29" xfId="0" applyFont="1" applyBorder="1" applyAlignment="1">
      <alignment horizontal="center" vertical="top"/>
    </xf>
    <xf numFmtId="0" fontId="58" fillId="44" borderId="1" xfId="0" applyFont="1" applyFill="1" applyBorder="1" applyAlignment="1">
      <alignment horizontal="center"/>
    </xf>
    <xf numFmtId="0" fontId="59" fillId="45" borderId="2" xfId="0" applyFont="1" applyFill="1" applyBorder="1"/>
    <xf numFmtId="0" fontId="59" fillId="45" borderId="3" xfId="0" applyFont="1" applyFill="1" applyBorder="1"/>
    <xf numFmtId="0" fontId="27" fillId="0" borderId="5" xfId="0" applyFont="1" applyBorder="1" applyAlignment="1">
      <alignment horizontal="left"/>
    </xf>
    <xf numFmtId="0" fontId="21" fillId="0" borderId="5" xfId="0" applyFont="1" applyBorder="1"/>
    <xf numFmtId="0" fontId="21" fillId="0" borderId="6" xfId="0" applyFont="1" applyBorder="1"/>
    <xf numFmtId="0" fontId="20" fillId="23" borderId="2" xfId="0" applyFont="1" applyFill="1" applyBorder="1" applyAlignment="1">
      <alignment horizontal="left"/>
    </xf>
    <xf numFmtId="0" fontId="67" fillId="23" borderId="2" xfId="0" applyFont="1" applyFill="1" applyBorder="1"/>
    <xf numFmtId="0" fontId="67" fillId="23" borderId="3" xfId="0" applyFont="1" applyFill="1" applyBorder="1"/>
    <xf numFmtId="0" fontId="61" fillId="44" borderId="0" xfId="0" applyFont="1" applyFill="1" applyAlignment="1">
      <alignment horizontal="center"/>
    </xf>
    <xf numFmtId="0" fontId="61" fillId="45" borderId="0" xfId="0" applyFont="1" applyFill="1"/>
    <xf numFmtId="0" fontId="26" fillId="43" borderId="1" xfId="0" applyFont="1" applyFill="1" applyBorder="1" applyAlignment="1">
      <alignment horizontal="left"/>
    </xf>
    <xf numFmtId="0" fontId="26" fillId="43" borderId="15" xfId="0" applyFont="1" applyFill="1" applyBorder="1" applyAlignment="1">
      <alignment horizontal="left"/>
    </xf>
    <xf numFmtId="0" fontId="26" fillId="43" borderId="3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26" fillId="0" borderId="32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" fillId="9" borderId="12" xfId="0" applyFont="1" applyFill="1" applyBorder="1" applyAlignment="1">
      <alignment horizontal="left" vertical="top" wrapText="1"/>
    </xf>
    <xf numFmtId="0" fontId="1" fillId="0" borderId="13" xfId="0" applyFont="1" applyBorder="1"/>
    <xf numFmtId="0" fontId="1" fillId="0" borderId="4" xfId="0" applyFont="1" applyBorder="1"/>
    <xf numFmtId="0" fontId="2" fillId="35" borderId="12" xfId="0" applyFont="1" applyFill="1" applyBorder="1"/>
    <xf numFmtId="0" fontId="1" fillId="25" borderId="13" xfId="0" applyFont="1" applyFill="1" applyBorder="1"/>
    <xf numFmtId="0" fontId="1" fillId="25" borderId="4" xfId="0" applyFont="1" applyFill="1" applyBorder="1"/>
    <xf numFmtId="0" fontId="47" fillId="38" borderId="9" xfId="0" applyFont="1" applyFill="1" applyBorder="1" applyAlignment="1">
      <alignment horizontal="center" vertical="center" wrapText="1"/>
    </xf>
    <xf numFmtId="0" fontId="48" fillId="39" borderId="10" xfId="0" applyFont="1" applyFill="1" applyBorder="1" applyAlignment="1">
      <alignment horizontal="center" vertical="center"/>
    </xf>
    <xf numFmtId="0" fontId="48" fillId="39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1" fillId="0" borderId="3" xfId="0" applyFont="1" applyBorder="1"/>
    <xf numFmtId="0" fontId="2" fillId="6" borderId="12" xfId="0" applyFont="1" applyFill="1" applyBorder="1" applyAlignment="1">
      <alignment horizontal="left" vertical="top" wrapText="1"/>
    </xf>
    <xf numFmtId="0" fontId="2" fillId="7" borderId="12" xfId="0" applyFont="1" applyFill="1" applyBorder="1" applyAlignment="1">
      <alignment horizontal="left" vertical="top" wrapText="1"/>
    </xf>
    <xf numFmtId="0" fontId="2" fillId="8" borderId="12" xfId="0" applyFont="1" applyFill="1" applyBorder="1" applyAlignment="1">
      <alignment horizontal="left" vertical="top" wrapText="1"/>
    </xf>
    <xf numFmtId="0" fontId="45" fillId="36" borderId="14" xfId="0" applyFont="1" applyFill="1" applyBorder="1" applyAlignment="1">
      <alignment horizontal="center" vertical="center" wrapText="1"/>
    </xf>
    <xf numFmtId="0" fontId="46" fillId="37" borderId="2" xfId="0" applyFont="1" applyFill="1" applyBorder="1" applyAlignment="1">
      <alignment vertical="center"/>
    </xf>
    <xf numFmtId="0" fontId="46" fillId="37" borderId="15" xfId="0" applyFont="1" applyFill="1" applyBorder="1" applyAlignment="1">
      <alignment vertical="center"/>
    </xf>
    <xf numFmtId="0" fontId="2" fillId="35" borderId="1" xfId="0" applyFont="1" applyFill="1" applyBorder="1" applyAlignment="1">
      <alignment horizontal="center" vertical="top"/>
    </xf>
    <xf numFmtId="0" fontId="1" fillId="25" borderId="3" xfId="0" applyFont="1" applyFill="1" applyBorder="1"/>
    <xf numFmtId="0" fontId="7" fillId="0" borderId="1" xfId="0" applyFont="1" applyBorder="1" applyAlignment="1">
      <alignment horizontal="left" vertical="center"/>
    </xf>
    <xf numFmtId="0" fontId="1" fillId="0" borderId="2" xfId="0" applyFont="1" applyBorder="1"/>
    <xf numFmtId="0" fontId="49" fillId="40" borderId="17" xfId="0" applyFont="1" applyFill="1" applyBorder="1" applyAlignment="1">
      <alignment horizontal="center"/>
    </xf>
    <xf numFmtId="0" fontId="50" fillId="41" borderId="18" xfId="0" applyFont="1" applyFill="1" applyBorder="1"/>
    <xf numFmtId="0" fontId="50" fillId="41" borderId="19" xfId="0" applyFont="1" applyFill="1" applyBorder="1"/>
    <xf numFmtId="0" fontId="55" fillId="10" borderId="24" xfId="0" applyFont="1" applyFill="1" applyBorder="1" applyAlignment="1">
      <alignment horizontal="center"/>
    </xf>
    <xf numFmtId="0" fontId="55" fillId="0" borderId="25" xfId="0" applyFont="1" applyBorder="1"/>
    <xf numFmtId="0" fontId="55" fillId="0" borderId="28" xfId="0" applyFont="1" applyBorder="1"/>
    <xf numFmtId="0" fontId="51" fillId="42" borderId="1" xfId="0" applyFont="1" applyFill="1" applyBorder="1" applyAlignment="1">
      <alignment horizontal="center" vertical="center"/>
    </xf>
    <xf numFmtId="0" fontId="44" fillId="41" borderId="2" xfId="0" applyFont="1" applyFill="1" applyBorder="1" applyAlignment="1">
      <alignment vertical="center"/>
    </xf>
    <xf numFmtId="0" fontId="44" fillId="41" borderId="3" xfId="0" applyFont="1" applyFill="1" applyBorder="1" applyAlignment="1">
      <alignment vertical="center"/>
    </xf>
    <xf numFmtId="0" fontId="22" fillId="15" borderId="1" xfId="0" applyFont="1" applyFill="1" applyBorder="1" applyAlignment="1">
      <alignment horizontal="center" vertical="top" wrapText="1"/>
    </xf>
    <xf numFmtId="0" fontId="23" fillId="0" borderId="2" xfId="0" applyFont="1" applyBorder="1"/>
    <xf numFmtId="0" fontId="23" fillId="0" borderId="3" xfId="0" applyFont="1" applyBorder="1"/>
    <xf numFmtId="0" fontId="20" fillId="16" borderId="1" xfId="0" applyFont="1" applyFill="1" applyBorder="1" applyAlignment="1">
      <alignment horizontal="center" vertical="top" wrapText="1"/>
    </xf>
    <xf numFmtId="0" fontId="21" fillId="0" borderId="2" xfId="0" applyFont="1" applyBorder="1"/>
    <xf numFmtId="0" fontId="21" fillId="0" borderId="3" xfId="0" applyFont="1" applyBorder="1"/>
    <xf numFmtId="0" fontId="13" fillId="24" borderId="1" xfId="0" applyFont="1" applyFill="1" applyBorder="1" applyAlignment="1">
      <alignment horizontal="center" vertical="top" wrapText="1"/>
    </xf>
    <xf numFmtId="0" fontId="14" fillId="25" borderId="2" xfId="0" applyFont="1" applyFill="1" applyBorder="1"/>
    <xf numFmtId="0" fontId="14" fillId="25" borderId="3" xfId="0" applyFont="1" applyFill="1" applyBorder="1"/>
    <xf numFmtId="0" fontId="17" fillId="26" borderId="1" xfId="0" applyFont="1" applyFill="1" applyBorder="1" applyAlignment="1">
      <alignment horizontal="center" vertical="top" wrapText="1"/>
    </xf>
    <xf numFmtId="0" fontId="18" fillId="25" borderId="2" xfId="0" applyFont="1" applyFill="1" applyBorder="1"/>
    <xf numFmtId="0" fontId="18" fillId="25" borderId="3" xfId="0" applyFont="1" applyFill="1" applyBorder="1"/>
    <xf numFmtId="0" fontId="19" fillId="15" borderId="57" xfId="0" applyFont="1" applyFill="1" applyBorder="1" applyAlignment="1">
      <alignment horizontal="center" vertical="top" wrapText="1"/>
    </xf>
    <xf numFmtId="0" fontId="19" fillId="15" borderId="33" xfId="0" applyFont="1" applyFill="1" applyBorder="1" applyAlignment="1">
      <alignment horizontal="center" vertical="top" wrapText="1"/>
    </xf>
    <xf numFmtId="0" fontId="19" fillId="15" borderId="35" xfId="0" applyFont="1" applyFill="1" applyBorder="1" applyAlignment="1">
      <alignment horizontal="center" vertical="top" wrapText="1"/>
    </xf>
    <xf numFmtId="0" fontId="37" fillId="30" borderId="1" xfId="0" applyFont="1" applyFill="1" applyBorder="1" applyAlignment="1">
      <alignment horizontal="center" vertical="center" wrapText="1"/>
    </xf>
    <xf numFmtId="0" fontId="10" fillId="31" borderId="2" xfId="0" applyFont="1" applyFill="1" applyBorder="1"/>
    <xf numFmtId="0" fontId="10" fillId="31" borderId="3" xfId="0" applyFont="1" applyFill="1" applyBorder="1"/>
    <xf numFmtId="0" fontId="37" fillId="32" borderId="41" xfId="0" applyFont="1" applyFill="1" applyBorder="1" applyAlignment="1">
      <alignment horizontal="center" vertical="center" wrapText="1"/>
    </xf>
    <xf numFmtId="0" fontId="10" fillId="23" borderId="42" xfId="0" applyFont="1" applyFill="1" applyBorder="1"/>
    <xf numFmtId="0" fontId="10" fillId="23" borderId="43" xfId="0" applyFont="1" applyFill="1" applyBorder="1"/>
    <xf numFmtId="0" fontId="37" fillId="30" borderId="41" xfId="0" applyFont="1" applyFill="1" applyBorder="1" applyAlignment="1">
      <alignment horizontal="center" vertical="center" wrapText="1"/>
    </xf>
    <xf numFmtId="0" fontId="10" fillId="31" borderId="42" xfId="0" applyFont="1" applyFill="1" applyBorder="1"/>
    <xf numFmtId="0" fontId="10" fillId="31" borderId="43" xfId="0" applyFont="1" applyFill="1" applyBorder="1"/>
    <xf numFmtId="0" fontId="37" fillId="17" borderId="40" xfId="0" applyFont="1" applyFill="1" applyBorder="1" applyAlignment="1">
      <alignment horizontal="center" vertical="center" wrapText="1"/>
    </xf>
    <xf numFmtId="0" fontId="10" fillId="0" borderId="13" xfId="0" applyFont="1" applyBorder="1"/>
    <xf numFmtId="0" fontId="10" fillId="0" borderId="46" xfId="0" applyFont="1" applyBorder="1"/>
    <xf numFmtId="0" fontId="37" fillId="32" borderId="1" xfId="0" applyFont="1" applyFill="1" applyBorder="1" applyAlignment="1">
      <alignment horizontal="center" vertical="center" wrapText="1"/>
    </xf>
    <xf numFmtId="0" fontId="10" fillId="23" borderId="2" xfId="0" applyFont="1" applyFill="1" applyBorder="1"/>
    <xf numFmtId="0" fontId="10" fillId="23" borderId="3" xfId="0" applyFont="1" applyFill="1" applyBorder="1"/>
    <xf numFmtId="14" fontId="37" fillId="17" borderId="40" xfId="0" applyNumberFormat="1" applyFont="1" applyFill="1" applyBorder="1" applyAlignment="1">
      <alignment horizontal="center" vertical="center" wrapText="1"/>
    </xf>
    <xf numFmtId="0" fontId="56" fillId="17" borderId="39" xfId="0" applyFont="1" applyFill="1" applyBorder="1" applyAlignment="1">
      <alignment horizontal="center" vertical="center" wrapText="1"/>
    </xf>
    <xf numFmtId="0" fontId="54" fillId="0" borderId="44" xfId="0" applyFont="1" applyBorder="1"/>
    <xf numFmtId="0" fontId="54" fillId="0" borderId="45" xfId="0" applyFont="1" applyBorder="1"/>
    <xf numFmtId="0" fontId="17" fillId="17" borderId="40" xfId="0" applyFont="1" applyFill="1" applyBorder="1" applyAlignment="1">
      <alignment horizontal="center" vertical="center" wrapText="1"/>
    </xf>
    <xf numFmtId="0" fontId="18" fillId="0" borderId="13" xfId="0" applyFont="1" applyBorder="1"/>
    <xf numFmtId="0" fontId="18" fillId="0" borderId="46" xfId="0" applyFont="1" applyBorder="1"/>
    <xf numFmtId="0" fontId="57" fillId="17" borderId="40" xfId="0" applyFont="1" applyFill="1" applyBorder="1" applyAlignment="1">
      <alignment horizontal="center" vertical="center" wrapText="1"/>
    </xf>
    <xf numFmtId="0" fontId="9" fillId="17" borderId="40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9" fontId="11" fillId="28" borderId="13" xfId="0" applyNumberFormat="1" applyFont="1" applyFill="1" applyBorder="1" applyAlignment="1">
      <alignment horizontal="center" vertical="center" wrapText="1"/>
    </xf>
    <xf numFmtId="0" fontId="10" fillId="28" borderId="13" xfId="0" applyFont="1" applyFill="1" applyBorder="1"/>
    <xf numFmtId="0" fontId="10" fillId="28" borderId="46" xfId="0" applyFont="1" applyFill="1" applyBorder="1"/>
    <xf numFmtId="188" fontId="31" fillId="0" borderId="13" xfId="0" applyNumberFormat="1" applyFont="1" applyBorder="1" applyAlignment="1">
      <alignment horizontal="center" vertical="center"/>
    </xf>
    <xf numFmtId="0" fontId="10" fillId="0" borderId="4" xfId="0" applyFont="1" applyBorder="1"/>
    <xf numFmtId="9" fontId="11" fillId="28" borderId="13" xfId="0" applyNumberFormat="1" applyFont="1" applyFill="1" applyBorder="1" applyAlignment="1">
      <alignment horizontal="center" vertical="center"/>
    </xf>
    <xf numFmtId="0" fontId="10" fillId="28" borderId="4" xfId="0" applyFont="1" applyFill="1" applyBorder="1"/>
    <xf numFmtId="188" fontId="11" fillId="0" borderId="50" xfId="0" applyNumberFormat="1" applyFont="1" applyBorder="1" applyAlignment="1">
      <alignment horizontal="center" vertical="center" wrapText="1"/>
    </xf>
    <xf numFmtId="0" fontId="10" fillId="0" borderId="34" xfId="0" applyFont="1" applyBorder="1"/>
    <xf numFmtId="0" fontId="10" fillId="0" borderId="47" xfId="0" applyFont="1" applyBorder="1"/>
    <xf numFmtId="188" fontId="11" fillId="0" borderId="40" xfId="0" applyNumberFormat="1" applyFont="1" applyBorder="1" applyAlignment="1">
      <alignment horizontal="center" vertical="center" wrapText="1"/>
    </xf>
    <xf numFmtId="0" fontId="37" fillId="17" borderId="13" xfId="0" applyFont="1" applyFill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left" vertical="center" wrapText="1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horizontal="center" vertical="center" wrapText="1"/>
    </xf>
    <xf numFmtId="188" fontId="12" fillId="10" borderId="34" xfId="0" applyNumberFormat="1" applyFont="1" applyFill="1" applyBorder="1" applyAlignment="1">
      <alignment horizontal="center" vertical="center"/>
    </xf>
    <xf numFmtId="0" fontId="12" fillId="0" borderId="50" xfId="0" applyFont="1" applyBorder="1" applyAlignment="1">
      <alignment vertical="center" wrapText="1"/>
    </xf>
    <xf numFmtId="188" fontId="31" fillId="0" borderId="12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 wrapText="1"/>
    </xf>
    <xf numFmtId="9" fontId="11" fillId="28" borderId="12" xfId="0" applyNumberFormat="1" applyFont="1" applyFill="1" applyBorder="1" applyAlignment="1">
      <alignment horizontal="center" vertical="center"/>
    </xf>
    <xf numFmtId="0" fontId="37" fillId="17" borderId="33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5" xfId="0" applyFont="1" applyBorder="1"/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31" fillId="0" borderId="13" xfId="0" applyFont="1" applyBorder="1" applyAlignment="1">
      <alignment vertical="center" wrapText="1"/>
    </xf>
    <xf numFmtId="0" fontId="31" fillId="0" borderId="13" xfId="0" applyFont="1" applyBorder="1" applyAlignment="1">
      <alignment horizontal="center" vertical="center"/>
    </xf>
    <xf numFmtId="0" fontId="31" fillId="0" borderId="34" xfId="0" applyFont="1" applyBorder="1" applyAlignment="1">
      <alignment vertical="center" wrapText="1"/>
    </xf>
    <xf numFmtId="0" fontId="10" fillId="0" borderId="6" xfId="0" applyFont="1" applyBorder="1"/>
    <xf numFmtId="0" fontId="31" fillId="0" borderId="13" xfId="0" applyFont="1" applyBorder="1" applyAlignment="1">
      <alignment horizontal="left" vertical="top" wrapText="1"/>
    </xf>
    <xf numFmtId="0" fontId="10" fillId="0" borderId="13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31" fillId="0" borderId="13" xfId="0" applyFont="1" applyBorder="1" applyAlignment="1">
      <alignment horizontal="center" vertical="center" wrapText="1"/>
    </xf>
    <xf numFmtId="0" fontId="12" fillId="0" borderId="50" xfId="0" applyFont="1" applyBorder="1" applyAlignment="1">
      <alignment vertical="center"/>
    </xf>
    <xf numFmtId="0" fontId="12" fillId="0" borderId="50" xfId="0" applyFont="1" applyBorder="1" applyAlignment="1">
      <alignment horizontal="left" vertical="center" wrapText="1"/>
    </xf>
    <xf numFmtId="9" fontId="11" fillId="29" borderId="13" xfId="0" applyNumberFormat="1" applyFont="1" applyFill="1" applyBorder="1" applyAlignment="1">
      <alignment horizontal="center" vertical="center" wrapText="1"/>
    </xf>
    <xf numFmtId="0" fontId="10" fillId="29" borderId="13" xfId="0" applyFont="1" applyFill="1" applyBorder="1"/>
    <xf numFmtId="0" fontId="10" fillId="29" borderId="46" xfId="0" applyFont="1" applyFill="1" applyBorder="1"/>
    <xf numFmtId="188" fontId="31" fillId="0" borderId="34" xfId="0" applyNumberFormat="1" applyFont="1" applyBorder="1" applyAlignment="1">
      <alignment horizontal="center" vertical="center" wrapText="1"/>
    </xf>
    <xf numFmtId="188" fontId="12" fillId="0" borderId="50" xfId="0" applyNumberFormat="1" applyFont="1" applyBorder="1" applyAlignment="1">
      <alignment horizontal="center" vertical="center"/>
    </xf>
    <xf numFmtId="188" fontId="12" fillId="0" borderId="34" xfId="0" applyNumberFormat="1" applyFont="1" applyBorder="1" applyAlignment="1">
      <alignment horizontal="center" vertical="center"/>
    </xf>
    <xf numFmtId="9" fontId="12" fillId="28" borderId="50" xfId="0" applyNumberFormat="1" applyFont="1" applyFill="1" applyBorder="1" applyAlignment="1">
      <alignment horizontal="center" vertical="center" wrapText="1"/>
    </xf>
    <xf numFmtId="0" fontId="10" fillId="28" borderId="47" xfId="0" applyFont="1" applyFill="1" applyBorder="1"/>
    <xf numFmtId="0" fontId="10" fillId="28" borderId="6" xfId="0" applyFont="1" applyFill="1" applyBorder="1"/>
    <xf numFmtId="0" fontId="11" fillId="0" borderId="39" xfId="0" applyFont="1" applyBorder="1" applyAlignment="1">
      <alignment vertical="center" wrapText="1"/>
    </xf>
    <xf numFmtId="0" fontId="10" fillId="0" borderId="44" xfId="0" applyFont="1" applyBorder="1"/>
    <xf numFmtId="0" fontId="10" fillId="0" borderId="45" xfId="0" applyFont="1" applyBorder="1"/>
    <xf numFmtId="0" fontId="11" fillId="0" borderId="40" xfId="0" applyFont="1" applyBorder="1" applyAlignment="1">
      <alignment horizontal="left" vertical="center" wrapText="1"/>
    </xf>
    <xf numFmtId="0" fontId="11" fillId="0" borderId="40" xfId="0" applyFont="1" applyBorder="1" applyAlignment="1">
      <alignment vertical="center" wrapText="1"/>
    </xf>
    <xf numFmtId="0" fontId="11" fillId="0" borderId="40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/>
    </xf>
    <xf numFmtId="0" fontId="31" fillId="0" borderId="13" xfId="0" applyFont="1" applyBorder="1" applyAlignment="1">
      <alignment horizontal="left" vertical="center" wrapText="1"/>
    </xf>
    <xf numFmtId="0" fontId="39" fillId="0" borderId="12" xfId="0" applyFont="1" applyBorder="1" applyAlignment="1">
      <alignment horizontal="center" vertical="center"/>
    </xf>
    <xf numFmtId="0" fontId="40" fillId="0" borderId="13" xfId="0" applyFont="1" applyBorder="1"/>
    <xf numFmtId="0" fontId="40" fillId="0" borderId="4" xfId="0" applyFont="1" applyBorder="1"/>
    <xf numFmtId="0" fontId="39" fillId="0" borderId="32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 wrapText="1"/>
    </xf>
    <xf numFmtId="0" fontId="40" fillId="0" borderId="13" xfId="0" applyFont="1" applyBorder="1" applyAlignment="1">
      <alignment wrapText="1"/>
    </xf>
    <xf numFmtId="0" fontId="40" fillId="0" borderId="4" xfId="0" applyFont="1" applyBorder="1" applyAlignment="1">
      <alignment wrapText="1"/>
    </xf>
  </cellXfs>
  <cellStyles count="1">
    <cellStyle name="ปกติ" xfId="0" builtinId="0"/>
  </cellStyles>
  <dxfs count="22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72F"/>
          <bgColor rgb="FFFF972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C000"/>
        </patternFill>
      </fill>
    </dxf>
    <dxf>
      <fill>
        <patternFill patternType="solid">
          <fgColor rgb="FFFF972F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TH Sarabun New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H Sarabun New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Data Support-style" pivot="0" count="3" xr9:uid="{00000000-0011-0000-FFFF-FFFF00000000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222222"/>
                </a:solidFill>
                <a:latin typeface="Arial"/>
              </a:defRPr>
            </a:pPr>
            <a:r>
              <a:rPr lang="th-TH" sz="1800" b="0">
                <a:solidFill>
                  <a:srgbClr val="222222"/>
                </a:solidFill>
                <a:latin typeface="Arial"/>
              </a:rPr>
              <a:t>ผลลัพธ์จากการประเมินความเสี่ยง 7 </a:t>
            </a:r>
            <a:r>
              <a:rPr lang="en-US" sz="1800" b="0">
                <a:solidFill>
                  <a:srgbClr val="222222"/>
                </a:solidFill>
                <a:latin typeface="Arial"/>
              </a:rPr>
              <a:t>Type of assets (Total 66 RISKs)</a:t>
            </a:r>
          </a:p>
        </c:rich>
      </c:tx>
      <c:layout>
        <c:manualLayout>
          <c:xMode val="edge"/>
          <c:yMode val="edge"/>
          <c:x val="3.0916666666666669E-2"/>
          <c:y val="5.2695417789757414E-2"/>
        </c:manualLayout>
      </c:layout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'Data Support'!$B$2</c:f>
              <c:strCache>
                <c:ptCount val="1"/>
                <c:pt idx="0">
                  <c:v>Accepting</c:v>
                </c:pt>
              </c:strCache>
            </c:strRef>
          </c:tx>
          <c:spPr>
            <a:solidFill>
              <a:srgbClr val="00B050"/>
            </a:solidFill>
            <a:ln cmpd="sng">
              <a:solidFill>
                <a:srgbClr val="000000">
                  <a:alpha val="0"/>
                </a:srgbClr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222222"/>
                    </a:solidFill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Support'!$A$3:$A$10</c:f>
              <c:strCache>
                <c:ptCount val="8"/>
                <c:pt idx="0">
                  <c:v>Data and Information</c:v>
                </c:pt>
                <c:pt idx="1">
                  <c:v>Facility</c:v>
                </c:pt>
                <c:pt idx="2">
                  <c:v>Hardware</c:v>
                </c:pt>
                <c:pt idx="3">
                  <c:v>Network</c:v>
                </c:pt>
                <c:pt idx="4">
                  <c:v>Personnel</c:v>
                </c:pt>
                <c:pt idx="5">
                  <c:v>Service</c:v>
                </c:pt>
                <c:pt idx="6">
                  <c:v>Software</c:v>
                </c:pt>
                <c:pt idx="7">
                  <c:v>Grand Total</c:v>
                </c:pt>
              </c:strCache>
            </c:strRef>
          </c:cat>
          <c:val>
            <c:numRef>
              <c:f>'Data Support'!$B$3:$B$10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13</c:v>
                </c:pt>
                <c:pt idx="4">
                  <c:v>2</c:v>
                </c:pt>
                <c:pt idx="5">
                  <c:v>4</c:v>
                </c:pt>
                <c:pt idx="6">
                  <c:v>11</c:v>
                </c:pt>
                <c:pt idx="7">
                  <c:v>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55-DF43-B96E-E724A2294E73}"/>
            </c:ext>
          </c:extLst>
        </c:ser>
        <c:ser>
          <c:idx val="1"/>
          <c:order val="1"/>
          <c:tx>
            <c:strRef>
              <c:f>'Data Support'!$C$2</c:f>
              <c:strCache>
                <c:ptCount val="1"/>
                <c:pt idx="0">
                  <c:v>Controlling</c:v>
                </c:pt>
              </c:strCache>
            </c:strRef>
          </c:tx>
          <c:spPr>
            <a:solidFill>
              <a:srgbClr val="FFFF00"/>
            </a:solidFill>
            <a:ln cmpd="sng">
              <a:solidFill>
                <a:srgbClr val="000000">
                  <a:alpha val="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355-DF43-B96E-E724A2294E73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  <a:endParaRPr lang="en-T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355-DF43-B96E-E724A2294E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Support'!$A$3:$A$10</c:f>
              <c:strCache>
                <c:ptCount val="8"/>
                <c:pt idx="0">
                  <c:v>Data and Information</c:v>
                </c:pt>
                <c:pt idx="1">
                  <c:v>Facility</c:v>
                </c:pt>
                <c:pt idx="2">
                  <c:v>Hardware</c:v>
                </c:pt>
                <c:pt idx="3">
                  <c:v>Network</c:v>
                </c:pt>
                <c:pt idx="4">
                  <c:v>Personnel</c:v>
                </c:pt>
                <c:pt idx="5">
                  <c:v>Service</c:v>
                </c:pt>
                <c:pt idx="6">
                  <c:v>Software</c:v>
                </c:pt>
                <c:pt idx="7">
                  <c:v>Grand Total</c:v>
                </c:pt>
              </c:strCache>
            </c:strRef>
          </c:cat>
          <c:val>
            <c:numRef>
              <c:f>'Data Support'!$C$3:$C$10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14</c:v>
                </c:pt>
                <c:pt idx="6">
                  <c:v>1</c:v>
                </c:pt>
                <c:pt idx="7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355-DF43-B96E-E724A2294E73}"/>
            </c:ext>
          </c:extLst>
        </c:ser>
        <c:ser>
          <c:idx val="2"/>
          <c:order val="2"/>
          <c:tx>
            <c:strRef>
              <c:f>'Data Support'!$D$2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rgbClr val="FF9900"/>
            </a:solidFill>
            <a:ln cmpd="sng">
              <a:solidFill>
                <a:srgbClr val="000000">
                  <a:alpha val="0"/>
                </a:srgbClr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Support'!$A$3:$A$10</c:f>
              <c:strCache>
                <c:ptCount val="8"/>
                <c:pt idx="0">
                  <c:v>Data and Information</c:v>
                </c:pt>
                <c:pt idx="1">
                  <c:v>Facility</c:v>
                </c:pt>
                <c:pt idx="2">
                  <c:v>Hardware</c:v>
                </c:pt>
                <c:pt idx="3">
                  <c:v>Network</c:v>
                </c:pt>
                <c:pt idx="4">
                  <c:v>Personnel</c:v>
                </c:pt>
                <c:pt idx="5">
                  <c:v>Service</c:v>
                </c:pt>
                <c:pt idx="6">
                  <c:v>Software</c:v>
                </c:pt>
                <c:pt idx="7">
                  <c:v>Grand Total</c:v>
                </c:pt>
              </c:strCache>
            </c:strRef>
          </c:cat>
          <c:val>
            <c:numRef>
              <c:f>'Data Support'!$D$3:$D$10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355-DF43-B96E-E724A2294E73}"/>
            </c:ext>
          </c:extLst>
        </c:ser>
        <c:ser>
          <c:idx val="3"/>
          <c:order val="3"/>
          <c:tx>
            <c:strRef>
              <c:f>'Data Support'!$E$2</c:f>
              <c:strCache>
                <c:ptCount val="1"/>
                <c:pt idx="0">
                  <c:v>Avoid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>
                  <a:alpha val="0"/>
                </a:srgbClr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Support'!$A$3:$A$10</c:f>
              <c:strCache>
                <c:ptCount val="8"/>
                <c:pt idx="0">
                  <c:v>Data and Information</c:v>
                </c:pt>
                <c:pt idx="1">
                  <c:v>Facility</c:v>
                </c:pt>
                <c:pt idx="2">
                  <c:v>Hardware</c:v>
                </c:pt>
                <c:pt idx="3">
                  <c:v>Network</c:v>
                </c:pt>
                <c:pt idx="4">
                  <c:v>Personnel</c:v>
                </c:pt>
                <c:pt idx="5">
                  <c:v>Service</c:v>
                </c:pt>
                <c:pt idx="6">
                  <c:v>Software</c:v>
                </c:pt>
                <c:pt idx="7">
                  <c:v>Grand Total</c:v>
                </c:pt>
              </c:strCache>
            </c:strRef>
          </c:cat>
          <c:val>
            <c:numRef>
              <c:f>'Data Support'!$E$3:$E$10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355-DF43-B96E-E724A2294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1521360"/>
        <c:axId val="1026631378"/>
        <c:axId val="0"/>
      </c:bar3DChart>
      <c:catAx>
        <c:axId val="85152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Arial"/>
              </a:defRPr>
            </a:pPr>
            <a:endParaRPr lang="en-TH"/>
          </a:p>
        </c:txPr>
        <c:crossAx val="1026631378"/>
        <c:crosses val="autoZero"/>
        <c:auto val="1"/>
        <c:lblAlgn val="ctr"/>
        <c:lblOffset val="100"/>
        <c:noMultiLvlLbl val="1"/>
      </c:catAx>
      <c:valAx>
        <c:axId val="102663137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8515213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406400</xdr:colOff>
      <xdr:row>1</xdr:row>
      <xdr:rowOff>12700</xdr:rowOff>
    </xdr:from>
    <xdr:ext cx="8394700" cy="51784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10" headerRowDxfId="18" dataDxfId="16" totalsRowDxfId="14" headerRowBorderDxfId="17" tableBorderDxfId="15">
  <tableColumns count="6">
    <tableColumn id="1" xr3:uid="{00000000-0010-0000-0000-000001000000}" name="ประเภททรัพย์สิน (Type)" dataDxfId="13"/>
    <tableColumn id="2" xr3:uid="{00000000-0010-0000-0000-000002000000}" name="Accepting" dataDxfId="12"/>
    <tableColumn id="3" xr3:uid="{00000000-0010-0000-0000-000003000000}" name="Controlling" dataDxfId="11"/>
    <tableColumn id="4" xr3:uid="{00000000-0010-0000-0000-000004000000}" name="Transfer" dataDxfId="10"/>
    <tableColumn id="5" xr3:uid="{00000000-0010-0000-0000-000005000000}" name="Avoid" dataDxfId="9"/>
    <tableColumn id="6" xr3:uid="{00000000-0010-0000-0000-000006000000}" name="Grand Total" dataDxfId="8"/>
  </tableColumns>
  <tableStyleInfo name="Data Sup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E984"/>
  <sheetViews>
    <sheetView zoomScale="80" zoomScaleNormal="80" workbookViewId="0">
      <selection activeCell="B9" sqref="B9"/>
    </sheetView>
  </sheetViews>
  <sheetFormatPr defaultColWidth="14.44140625" defaultRowHeight="15" customHeight="1"/>
  <cols>
    <col min="1" max="1" width="32.77734375" style="44" customWidth="1"/>
    <col min="2" max="2" width="39.88671875" style="44" customWidth="1"/>
    <col min="3" max="3" width="82.6640625" style="44" customWidth="1"/>
    <col min="4" max="4" width="38.5546875" style="44" customWidth="1"/>
    <col min="5" max="5" width="30.33203125" style="44" customWidth="1"/>
    <col min="6" max="26" width="17.44140625" style="44" customWidth="1"/>
    <col min="27" max="16384" width="14.44140625" style="44"/>
  </cols>
  <sheetData>
    <row r="1" spans="1:5" ht="60.6">
      <c r="A1" s="312" t="s">
        <v>0</v>
      </c>
      <c r="B1" s="313"/>
      <c r="C1" s="313"/>
      <c r="D1" s="314"/>
      <c r="E1" s="43"/>
    </row>
    <row r="2" spans="1:5" ht="30">
      <c r="A2" s="45" t="s">
        <v>1</v>
      </c>
      <c r="B2" s="315"/>
      <c r="C2" s="316"/>
      <c r="D2" s="317"/>
      <c r="E2" s="43"/>
    </row>
    <row r="3" spans="1:5" ht="30">
      <c r="A3" s="45" t="s">
        <v>2</v>
      </c>
      <c r="B3" s="318" t="s">
        <v>447</v>
      </c>
      <c r="C3" s="319"/>
      <c r="D3" s="320"/>
      <c r="E3" s="43"/>
    </row>
    <row r="4" spans="1:5" ht="30">
      <c r="A4" s="46" t="s">
        <v>3</v>
      </c>
      <c r="B4" s="326" t="s">
        <v>4</v>
      </c>
      <c r="C4" s="327"/>
      <c r="D4" s="328"/>
      <c r="E4" s="43"/>
    </row>
    <row r="5" spans="1:5" ht="30">
      <c r="A5" s="46" t="s">
        <v>5</v>
      </c>
      <c r="B5" s="323" t="s">
        <v>448</v>
      </c>
      <c r="C5" s="324"/>
      <c r="D5" s="325"/>
      <c r="E5" s="43"/>
    </row>
    <row r="6" spans="1:5" ht="30">
      <c r="A6" s="43"/>
      <c r="B6" s="43"/>
      <c r="C6" s="43"/>
      <c r="D6" s="47"/>
      <c r="E6" s="43"/>
    </row>
    <row r="7" spans="1:5" ht="30">
      <c r="A7" s="321" t="s">
        <v>6</v>
      </c>
      <c r="B7" s="322"/>
      <c r="C7" s="322"/>
      <c r="D7" s="322"/>
      <c r="E7" s="322"/>
    </row>
    <row r="8" spans="1:5" ht="57" customHeight="1">
      <c r="A8" s="272" t="s">
        <v>7</v>
      </c>
      <c r="B8" s="302" t="s">
        <v>8</v>
      </c>
      <c r="C8" s="273" t="s">
        <v>9</v>
      </c>
      <c r="D8" s="273" t="s">
        <v>10</v>
      </c>
      <c r="E8" s="273" t="s">
        <v>11</v>
      </c>
    </row>
    <row r="9" spans="1:5" ht="30">
      <c r="A9" s="48">
        <v>1</v>
      </c>
      <c r="B9" s="271" t="s">
        <v>487</v>
      </c>
      <c r="C9" s="49" t="s">
        <v>12</v>
      </c>
      <c r="D9" s="50" t="s">
        <v>448</v>
      </c>
      <c r="E9" s="50" t="s">
        <v>489</v>
      </c>
    </row>
    <row r="10" spans="1:5" ht="30">
      <c r="A10" s="310">
        <v>2</v>
      </c>
      <c r="B10" s="308" t="s">
        <v>488</v>
      </c>
      <c r="C10" s="306" t="s">
        <v>449</v>
      </c>
      <c r="D10" s="329" t="s">
        <v>448</v>
      </c>
      <c r="E10" s="329" t="s">
        <v>489</v>
      </c>
    </row>
    <row r="11" spans="1:5" ht="30">
      <c r="A11" s="311"/>
      <c r="B11" s="309"/>
      <c r="C11" s="307"/>
      <c r="D11" s="330"/>
      <c r="E11" s="330"/>
    </row>
    <row r="12" spans="1:5" ht="30">
      <c r="A12" s="48">
        <v>3</v>
      </c>
      <c r="B12" s="295" t="s">
        <v>490</v>
      </c>
      <c r="C12" s="49" t="s">
        <v>13</v>
      </c>
      <c r="D12" s="50" t="s">
        <v>448</v>
      </c>
      <c r="E12" s="50" t="s">
        <v>489</v>
      </c>
    </row>
    <row r="13" spans="1:5" ht="30">
      <c r="A13" s="48">
        <v>4</v>
      </c>
      <c r="B13" s="295" t="s">
        <v>491</v>
      </c>
      <c r="C13" s="49" t="s">
        <v>14</v>
      </c>
      <c r="D13" s="50" t="s">
        <v>448</v>
      </c>
      <c r="E13" s="50" t="s">
        <v>489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1">
    <mergeCell ref="C10:C11"/>
    <mergeCell ref="B10:B11"/>
    <mergeCell ref="A10:A11"/>
    <mergeCell ref="A1:D1"/>
    <mergeCell ref="B2:D2"/>
    <mergeCell ref="B3:D3"/>
    <mergeCell ref="A7:E7"/>
    <mergeCell ref="B5:D5"/>
    <mergeCell ref="B4:D4"/>
    <mergeCell ref="D10:D11"/>
    <mergeCell ref="E10:E11"/>
  </mergeCells>
  <phoneticPr fontId="60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Y1000"/>
  <sheetViews>
    <sheetView zoomScale="80" zoomScaleNormal="80" workbookViewId="0">
      <selection activeCell="A2" sqref="A2"/>
    </sheetView>
  </sheetViews>
  <sheetFormatPr defaultColWidth="14.44140625" defaultRowHeight="60.6" customHeight="1"/>
  <cols>
    <col min="1" max="1" width="184.33203125" style="42" customWidth="1"/>
    <col min="2" max="5" width="14.44140625" style="42"/>
    <col min="6" max="25" width="8.77734375" style="42" customWidth="1"/>
    <col min="26" max="16384" width="14.44140625" style="42"/>
  </cols>
  <sheetData>
    <row r="1" spans="1:25" ht="23.55" customHeight="1">
      <c r="A1" s="296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</row>
    <row r="2" spans="1:25" ht="60.6" customHeight="1">
      <c r="A2" s="298" t="s">
        <v>15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</row>
    <row r="3" spans="1:25" ht="60.6" customHeight="1">
      <c r="A3" s="298" t="s">
        <v>16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</row>
    <row r="4" spans="1:25" ht="60.6" customHeight="1">
      <c r="A4" s="299" t="s">
        <v>17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</row>
    <row r="5" spans="1:25" ht="60.6" customHeight="1">
      <c r="A5" s="299" t="s">
        <v>18</v>
      </c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</row>
    <row r="6" spans="1:25" ht="60.6" customHeight="1">
      <c r="A6" s="299" t="s">
        <v>19</v>
      </c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</row>
    <row r="7" spans="1:25" ht="60.6" customHeight="1">
      <c r="A7" s="299" t="s">
        <v>20</v>
      </c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</row>
    <row r="8" spans="1:25" ht="60.6" customHeight="1">
      <c r="A8" s="299" t="s">
        <v>21</v>
      </c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</row>
    <row r="9" spans="1:25" ht="60.6" customHeight="1">
      <c r="A9" s="299" t="s">
        <v>22</v>
      </c>
      <c r="B9" s="297"/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</row>
    <row r="10" spans="1:25" ht="60.6" customHeight="1">
      <c r="A10" s="299" t="s">
        <v>23</v>
      </c>
      <c r="B10" s="297"/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</row>
    <row r="11" spans="1:25" ht="60.6" customHeight="1">
      <c r="A11" s="300"/>
      <c r="B11" s="297"/>
      <c r="C11" s="301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</row>
    <row r="12" spans="1:25" ht="60.6" customHeight="1">
      <c r="A12" s="300"/>
      <c r="B12" s="297"/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</row>
    <row r="13" spans="1:25" ht="60.6" customHeight="1">
      <c r="A13" s="300"/>
      <c r="B13" s="297"/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</row>
    <row r="14" spans="1:25" ht="60.6" customHeight="1">
      <c r="A14" s="300"/>
      <c r="B14" s="297"/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</row>
    <row r="15" spans="1:25" ht="60.6" customHeight="1">
      <c r="A15" s="300"/>
      <c r="B15" s="297"/>
      <c r="C15" s="297"/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</row>
    <row r="16" spans="1:25" ht="60.6" customHeight="1">
      <c r="A16" s="300"/>
      <c r="B16" s="297"/>
      <c r="C16" s="297"/>
      <c r="D16" s="297"/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</row>
    <row r="17" spans="1:25" ht="60.6" customHeight="1">
      <c r="A17" s="300"/>
      <c r="B17" s="297"/>
      <c r="C17" s="297"/>
      <c r="D17" s="297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</row>
    <row r="18" spans="1:25" ht="60.6" customHeight="1">
      <c r="A18" s="300"/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</row>
    <row r="19" spans="1:25" ht="60.6" customHeight="1">
      <c r="A19" s="300"/>
      <c r="B19" s="297"/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</row>
    <row r="20" spans="1:25" ht="60.6" customHeight="1">
      <c r="A20" s="300"/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</row>
    <row r="21" spans="1:25" ht="60.6" customHeight="1">
      <c r="A21" s="300"/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</row>
    <row r="22" spans="1:25" ht="60.6" customHeight="1">
      <c r="A22" s="300"/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</row>
    <row r="23" spans="1:25" ht="60.6" customHeight="1">
      <c r="A23" s="300"/>
      <c r="B23" s="297"/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</row>
    <row r="24" spans="1:25" ht="60.6" customHeight="1">
      <c r="A24" s="300"/>
      <c r="B24" s="297"/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</row>
    <row r="25" spans="1:25" ht="60.6" customHeight="1">
      <c r="A25" s="300"/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</row>
    <row r="26" spans="1:25" ht="60.6" customHeight="1">
      <c r="A26" s="300"/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</row>
    <row r="27" spans="1:25" ht="60.6" customHeight="1">
      <c r="A27" s="300"/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</row>
    <row r="28" spans="1:25" ht="60.6" customHeight="1">
      <c r="A28" s="300"/>
      <c r="B28" s="297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/>
      <c r="U28" s="297"/>
      <c r="V28" s="297"/>
      <c r="W28" s="297"/>
      <c r="X28" s="297"/>
      <c r="Y28" s="297"/>
    </row>
    <row r="29" spans="1:25" ht="60.6" customHeight="1">
      <c r="A29" s="300"/>
      <c r="B29" s="297"/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</row>
    <row r="30" spans="1:25" ht="60.6" customHeight="1">
      <c r="A30" s="300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/>
      <c r="U30" s="297"/>
      <c r="V30" s="297"/>
      <c r="W30" s="297"/>
      <c r="X30" s="297"/>
      <c r="Y30" s="297"/>
    </row>
    <row r="31" spans="1:25" ht="60.6" customHeight="1">
      <c r="A31" s="300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97"/>
      <c r="X31" s="297"/>
      <c r="Y31" s="297"/>
    </row>
    <row r="32" spans="1:25" ht="60.6" customHeight="1">
      <c r="A32" s="300"/>
      <c r="B32" s="297"/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</row>
    <row r="33" spans="1:25" ht="60.6" customHeight="1">
      <c r="A33" s="300"/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</row>
    <row r="34" spans="1:25" ht="60.6" customHeight="1">
      <c r="A34" s="300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297"/>
      <c r="X34" s="297"/>
      <c r="Y34" s="297"/>
    </row>
    <row r="35" spans="1:25" ht="60.6" customHeight="1">
      <c r="A35" s="300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</row>
    <row r="36" spans="1:25" ht="60.6" customHeight="1">
      <c r="A36" s="300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</row>
    <row r="37" spans="1:25" ht="60.6" customHeight="1">
      <c r="A37" s="300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</row>
    <row r="38" spans="1:25" ht="60.6" customHeight="1">
      <c r="A38" s="300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</row>
    <row r="39" spans="1:25" ht="60.6" customHeight="1">
      <c r="A39" s="300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7"/>
    </row>
    <row r="40" spans="1:25" ht="60.6" customHeight="1">
      <c r="A40" s="300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297"/>
    </row>
    <row r="41" spans="1:25" ht="60.6" customHeight="1">
      <c r="A41" s="300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Y41" s="297"/>
    </row>
    <row r="42" spans="1:25" ht="60.6" customHeight="1">
      <c r="A42" s="300"/>
      <c r="B42" s="297"/>
      <c r="C42" s="297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</row>
    <row r="43" spans="1:25" ht="60.6" customHeight="1">
      <c r="A43" s="300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</row>
    <row r="44" spans="1:25" ht="60.6" customHeight="1">
      <c r="A44" s="300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</row>
    <row r="45" spans="1:25" ht="60.6" customHeight="1">
      <c r="A45" s="300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</row>
    <row r="46" spans="1:25" ht="60.6" customHeight="1">
      <c r="A46" s="300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</row>
    <row r="47" spans="1:25" ht="60.6" customHeight="1">
      <c r="A47" s="300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</row>
    <row r="48" spans="1:25" ht="60.6" customHeight="1">
      <c r="A48" s="300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</row>
    <row r="49" spans="1:25" ht="60.6" customHeight="1">
      <c r="A49" s="300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</row>
    <row r="50" spans="1:25" ht="60.6" customHeight="1">
      <c r="A50" s="300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</row>
    <row r="51" spans="1:25" ht="60.6" customHeight="1">
      <c r="A51" s="300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</row>
    <row r="52" spans="1:25" ht="60.6" customHeight="1">
      <c r="A52" s="300"/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</row>
    <row r="53" spans="1:25" ht="60.6" customHeight="1">
      <c r="A53" s="300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</row>
    <row r="54" spans="1:25" ht="60.6" customHeight="1">
      <c r="A54" s="300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</row>
    <row r="55" spans="1:25" ht="60.6" customHeight="1">
      <c r="A55" s="300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</row>
    <row r="56" spans="1:25" ht="60.6" customHeight="1">
      <c r="A56" s="300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</row>
    <row r="57" spans="1:25" ht="60.6" customHeight="1">
      <c r="A57" s="300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</row>
    <row r="58" spans="1:25" ht="60.6" customHeight="1">
      <c r="A58" s="300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</row>
    <row r="59" spans="1:25" ht="60.6" customHeight="1">
      <c r="A59" s="300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</row>
    <row r="60" spans="1:25" ht="60.6" customHeight="1">
      <c r="A60" s="300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</row>
    <row r="61" spans="1:25" ht="60.6" customHeight="1">
      <c r="A61" s="300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</row>
    <row r="62" spans="1:25" ht="60.6" customHeight="1">
      <c r="A62" s="300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</row>
    <row r="63" spans="1:25" ht="60.6" customHeight="1">
      <c r="A63" s="300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</row>
    <row r="64" spans="1:25" ht="60.6" customHeight="1">
      <c r="A64" s="300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</row>
    <row r="65" spans="1:25" ht="60.6" customHeight="1">
      <c r="A65" s="300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</row>
    <row r="66" spans="1:25" ht="60.6" customHeight="1">
      <c r="A66" s="300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</row>
    <row r="67" spans="1:25" ht="60.6" customHeight="1">
      <c r="A67" s="300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</row>
    <row r="68" spans="1:25" ht="60.6" customHeight="1">
      <c r="A68" s="300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</row>
    <row r="69" spans="1:25" ht="60.6" customHeight="1">
      <c r="A69" s="300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</row>
    <row r="70" spans="1:25" ht="60.6" customHeight="1">
      <c r="A70" s="300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</row>
    <row r="71" spans="1:25" ht="60.6" customHeight="1">
      <c r="A71" s="300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</row>
    <row r="72" spans="1:25" ht="60.6" customHeight="1">
      <c r="A72" s="300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</row>
    <row r="73" spans="1:25" ht="60.6" customHeight="1">
      <c r="A73" s="300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</row>
    <row r="74" spans="1:25" ht="60.6" customHeight="1">
      <c r="A74" s="300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</row>
    <row r="75" spans="1:25" ht="60.6" customHeight="1">
      <c r="A75" s="300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</row>
    <row r="76" spans="1:25" ht="60.6" customHeight="1">
      <c r="A76" s="300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</row>
    <row r="77" spans="1:25" ht="60.6" customHeight="1">
      <c r="A77" s="300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</row>
    <row r="78" spans="1:25" ht="60.6" customHeight="1">
      <c r="A78" s="300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</row>
    <row r="79" spans="1:25" ht="60.6" customHeight="1">
      <c r="A79" s="300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</row>
    <row r="80" spans="1:25" ht="60.6" customHeight="1">
      <c r="A80" s="300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</row>
    <row r="81" spans="1:25" ht="60.6" customHeight="1">
      <c r="A81" s="300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</row>
    <row r="82" spans="1:25" ht="60.6" customHeight="1">
      <c r="A82" s="300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</row>
    <row r="83" spans="1:25" ht="60.6" customHeight="1">
      <c r="A83" s="300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</row>
    <row r="84" spans="1:25" ht="60.6" customHeight="1">
      <c r="A84" s="300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</row>
    <row r="85" spans="1:25" ht="60.6" customHeight="1">
      <c r="A85" s="300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</row>
    <row r="86" spans="1:25" ht="60.6" customHeight="1">
      <c r="A86" s="300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</row>
    <row r="87" spans="1:25" ht="60.6" customHeight="1">
      <c r="A87" s="300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</row>
    <row r="88" spans="1:25" ht="60.6" customHeight="1">
      <c r="A88" s="300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</row>
    <row r="89" spans="1:25" ht="60.6" customHeight="1">
      <c r="A89" s="300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</row>
    <row r="90" spans="1:25" ht="60.6" customHeight="1">
      <c r="A90" s="300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</row>
    <row r="91" spans="1:25" ht="60.6" customHeight="1">
      <c r="A91" s="300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</row>
    <row r="92" spans="1:25" ht="60.6" customHeight="1">
      <c r="A92" s="300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</row>
    <row r="93" spans="1:25" ht="60.6" customHeight="1">
      <c r="A93" s="300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</row>
    <row r="94" spans="1:25" ht="60.6" customHeight="1">
      <c r="A94" s="300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</row>
    <row r="95" spans="1:25" ht="60.6" customHeight="1">
      <c r="A95" s="300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</row>
    <row r="96" spans="1:25" ht="60.6" customHeight="1">
      <c r="A96" s="300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</row>
    <row r="97" spans="1:25" ht="60.6" customHeight="1">
      <c r="A97" s="300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</row>
    <row r="98" spans="1:25" ht="60.6" customHeight="1">
      <c r="A98" s="300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</row>
    <row r="99" spans="1:25" ht="60.6" customHeight="1">
      <c r="A99" s="300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</row>
    <row r="100" spans="1:25" ht="60.6" customHeight="1">
      <c r="A100" s="300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</row>
    <row r="101" spans="1:25" ht="60.6" customHeight="1">
      <c r="A101" s="300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</row>
    <row r="102" spans="1:25" ht="60.6" customHeight="1">
      <c r="A102" s="300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</row>
    <row r="103" spans="1:25" ht="60.6" customHeight="1">
      <c r="A103" s="300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</row>
    <row r="104" spans="1:25" ht="60.6" customHeight="1">
      <c r="A104" s="300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</row>
    <row r="105" spans="1:25" ht="60.6" customHeight="1">
      <c r="A105" s="300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</row>
    <row r="106" spans="1:25" ht="60.6" customHeight="1">
      <c r="A106" s="300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</row>
    <row r="107" spans="1:25" ht="60.6" customHeight="1">
      <c r="A107" s="300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</row>
    <row r="108" spans="1:25" ht="60.6" customHeight="1">
      <c r="A108" s="300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</row>
    <row r="109" spans="1:25" ht="60.6" customHeight="1">
      <c r="A109" s="300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</row>
    <row r="110" spans="1:25" ht="60.6" customHeight="1">
      <c r="A110" s="300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</row>
    <row r="111" spans="1:25" ht="60.6" customHeight="1">
      <c r="A111" s="300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</row>
    <row r="112" spans="1:25" ht="60.6" customHeight="1">
      <c r="A112" s="300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</row>
    <row r="113" spans="1:25" ht="60.6" customHeight="1">
      <c r="A113" s="300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</row>
    <row r="114" spans="1:25" ht="60.6" customHeight="1">
      <c r="A114" s="300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</row>
    <row r="115" spans="1:25" ht="60.6" customHeight="1">
      <c r="A115" s="300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</row>
    <row r="116" spans="1:25" ht="60.6" customHeight="1">
      <c r="A116" s="300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</row>
    <row r="117" spans="1:25" ht="60.6" customHeight="1">
      <c r="A117" s="300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</row>
    <row r="118" spans="1:25" ht="60.6" customHeight="1">
      <c r="A118" s="300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</row>
    <row r="119" spans="1:25" ht="60.6" customHeight="1">
      <c r="A119" s="300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</row>
    <row r="120" spans="1:25" ht="60.6" customHeight="1">
      <c r="A120" s="300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</row>
    <row r="121" spans="1:25" ht="60.6" customHeight="1">
      <c r="A121" s="300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</row>
    <row r="122" spans="1:25" ht="60.6" customHeight="1">
      <c r="A122" s="300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</row>
    <row r="123" spans="1:25" ht="60.6" customHeight="1">
      <c r="A123" s="300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</row>
    <row r="124" spans="1:25" ht="60.6" customHeight="1">
      <c r="A124" s="300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</row>
    <row r="125" spans="1:25" ht="60.6" customHeight="1">
      <c r="A125" s="300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</row>
    <row r="126" spans="1:25" ht="60.6" customHeight="1">
      <c r="A126" s="300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</row>
    <row r="127" spans="1:25" ht="60.6" customHeight="1">
      <c r="A127" s="300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</row>
    <row r="128" spans="1:25" ht="60.6" customHeight="1">
      <c r="A128" s="300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</row>
    <row r="129" spans="1:25" ht="60.6" customHeight="1">
      <c r="A129" s="300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</row>
    <row r="130" spans="1:25" ht="60.6" customHeight="1">
      <c r="A130" s="300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</row>
    <row r="131" spans="1:25" ht="60.6" customHeight="1">
      <c r="A131" s="300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</row>
    <row r="132" spans="1:25" ht="60.6" customHeight="1">
      <c r="A132" s="300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</row>
    <row r="133" spans="1:25" ht="60.6" customHeight="1">
      <c r="A133" s="300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</row>
    <row r="134" spans="1:25" ht="60.6" customHeight="1">
      <c r="A134" s="300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</row>
    <row r="135" spans="1:25" ht="60.6" customHeight="1">
      <c r="A135" s="300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</row>
    <row r="136" spans="1:25" ht="60.6" customHeight="1">
      <c r="A136" s="300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</row>
    <row r="137" spans="1:25" ht="60.6" customHeight="1">
      <c r="A137" s="300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</row>
    <row r="138" spans="1:25" ht="60.6" customHeight="1">
      <c r="A138" s="300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</row>
    <row r="139" spans="1:25" ht="60.6" customHeight="1">
      <c r="A139" s="300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</row>
    <row r="140" spans="1:25" ht="60.6" customHeight="1">
      <c r="A140" s="300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</row>
    <row r="141" spans="1:25" ht="60.6" customHeight="1">
      <c r="A141" s="300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</row>
    <row r="142" spans="1:25" ht="60.6" customHeight="1">
      <c r="A142" s="300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</row>
    <row r="143" spans="1:25" ht="60.6" customHeight="1">
      <c r="A143" s="300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</row>
    <row r="144" spans="1:25" ht="60.6" customHeight="1">
      <c r="A144" s="300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</row>
    <row r="145" spans="1:25" ht="60.6" customHeight="1">
      <c r="A145" s="300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</row>
    <row r="146" spans="1:25" ht="60.6" customHeight="1">
      <c r="A146" s="300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</row>
    <row r="147" spans="1:25" ht="60.6" customHeight="1">
      <c r="A147" s="300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</row>
    <row r="148" spans="1:25" ht="60.6" customHeight="1">
      <c r="A148" s="300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</row>
    <row r="149" spans="1:25" ht="60.6" customHeight="1">
      <c r="A149" s="300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</row>
    <row r="150" spans="1:25" ht="60.6" customHeight="1">
      <c r="A150" s="300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</row>
    <row r="151" spans="1:25" ht="60.6" customHeight="1">
      <c r="A151" s="300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</row>
    <row r="152" spans="1:25" ht="60.6" customHeight="1">
      <c r="A152" s="300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</row>
    <row r="153" spans="1:25" ht="60.6" customHeight="1">
      <c r="A153" s="300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</row>
    <row r="154" spans="1:25" ht="60.6" customHeight="1">
      <c r="A154" s="300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</row>
    <row r="155" spans="1:25" ht="60.6" customHeight="1">
      <c r="A155" s="300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</row>
    <row r="156" spans="1:25" ht="60.6" customHeight="1">
      <c r="A156" s="300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</row>
    <row r="157" spans="1:25" ht="60.6" customHeight="1">
      <c r="A157" s="300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</row>
    <row r="158" spans="1:25" ht="60.6" customHeight="1">
      <c r="A158" s="300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</row>
    <row r="159" spans="1:25" ht="60.6" customHeight="1">
      <c r="A159" s="300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</row>
    <row r="160" spans="1:25" ht="60.6" customHeight="1">
      <c r="A160" s="300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</row>
    <row r="161" spans="1:25" ht="60.6" customHeight="1">
      <c r="A161" s="300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</row>
    <row r="162" spans="1:25" ht="60.6" customHeight="1">
      <c r="A162" s="300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</row>
    <row r="163" spans="1:25" ht="60.6" customHeight="1">
      <c r="A163" s="300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</row>
    <row r="164" spans="1:25" ht="60.6" customHeight="1">
      <c r="A164" s="300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</row>
    <row r="165" spans="1:25" ht="60.6" customHeight="1">
      <c r="A165" s="300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</row>
    <row r="166" spans="1:25" ht="60.6" customHeight="1">
      <c r="A166" s="300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</row>
    <row r="167" spans="1:25" ht="60.6" customHeight="1">
      <c r="A167" s="300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</row>
    <row r="168" spans="1:25" ht="60.6" customHeight="1">
      <c r="A168" s="300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</row>
    <row r="169" spans="1:25" ht="60.6" customHeight="1">
      <c r="A169" s="300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</row>
    <row r="170" spans="1:25" ht="60.6" customHeight="1">
      <c r="A170" s="300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</row>
    <row r="171" spans="1:25" ht="60.6" customHeight="1">
      <c r="A171" s="300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</row>
    <row r="172" spans="1:25" ht="60.6" customHeight="1">
      <c r="A172" s="300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</row>
    <row r="173" spans="1:25" ht="60.6" customHeight="1">
      <c r="A173" s="300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</row>
    <row r="174" spans="1:25" ht="60.6" customHeight="1">
      <c r="A174" s="300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</row>
    <row r="175" spans="1:25" ht="60.6" customHeight="1">
      <c r="A175" s="300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</row>
    <row r="176" spans="1:25" ht="60.6" customHeight="1">
      <c r="A176" s="300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</row>
    <row r="177" spans="1:25" ht="60.6" customHeight="1">
      <c r="A177" s="300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</row>
    <row r="178" spans="1:25" ht="60.6" customHeight="1">
      <c r="A178" s="300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</row>
    <row r="179" spans="1:25" ht="60.6" customHeight="1">
      <c r="A179" s="300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</row>
    <row r="180" spans="1:25" ht="60.6" customHeight="1">
      <c r="A180" s="300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</row>
    <row r="181" spans="1:25" ht="60.6" customHeight="1">
      <c r="A181" s="300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</row>
    <row r="182" spans="1:25" ht="60.6" customHeight="1">
      <c r="A182" s="300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</row>
    <row r="183" spans="1:25" ht="60.6" customHeight="1">
      <c r="A183" s="300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</row>
    <row r="184" spans="1:25" ht="60.6" customHeight="1">
      <c r="A184" s="300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</row>
    <row r="185" spans="1:25" ht="60.6" customHeight="1">
      <c r="A185" s="300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</row>
    <row r="186" spans="1:25" ht="60.6" customHeight="1">
      <c r="A186" s="300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</row>
    <row r="187" spans="1:25" ht="60.6" customHeight="1">
      <c r="A187" s="300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</row>
    <row r="188" spans="1:25" ht="60.6" customHeight="1">
      <c r="A188" s="300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</row>
    <row r="189" spans="1:25" ht="60.6" customHeight="1">
      <c r="A189" s="300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</row>
    <row r="190" spans="1:25" ht="60.6" customHeight="1">
      <c r="A190" s="300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</row>
    <row r="191" spans="1:25" ht="60.6" customHeight="1">
      <c r="A191" s="300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</row>
    <row r="192" spans="1:25" ht="60.6" customHeight="1">
      <c r="A192" s="300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</row>
    <row r="193" spans="1:25" ht="60.6" customHeight="1">
      <c r="A193" s="300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</row>
    <row r="194" spans="1:25" ht="60.6" customHeight="1">
      <c r="A194" s="300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</row>
    <row r="195" spans="1:25" ht="60.6" customHeight="1">
      <c r="A195" s="300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</row>
    <row r="196" spans="1:25" ht="60.6" customHeight="1">
      <c r="A196" s="300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</row>
    <row r="197" spans="1:25" ht="60.6" customHeight="1">
      <c r="A197" s="300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</row>
    <row r="198" spans="1:25" ht="60.6" customHeight="1">
      <c r="A198" s="300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</row>
    <row r="199" spans="1:25" ht="60.6" customHeight="1">
      <c r="A199" s="300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</row>
    <row r="200" spans="1:25" ht="60.6" customHeight="1">
      <c r="A200" s="300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</row>
    <row r="201" spans="1:25" ht="60.6" customHeight="1">
      <c r="A201" s="300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</row>
    <row r="202" spans="1:25" ht="60.6" customHeight="1">
      <c r="A202" s="300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</row>
    <row r="203" spans="1:25" ht="60.6" customHeight="1">
      <c r="A203" s="300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</row>
    <row r="204" spans="1:25" ht="60.6" customHeight="1">
      <c r="A204" s="300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</row>
    <row r="205" spans="1:25" ht="60.6" customHeight="1">
      <c r="A205" s="300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</row>
    <row r="206" spans="1:25" ht="60.6" customHeight="1">
      <c r="A206" s="300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</row>
    <row r="207" spans="1:25" ht="60.6" customHeight="1">
      <c r="A207" s="300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</row>
    <row r="208" spans="1:25" ht="60.6" customHeight="1">
      <c r="A208" s="300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</row>
    <row r="209" spans="1:25" ht="60.6" customHeight="1">
      <c r="A209" s="300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</row>
    <row r="210" spans="1:25" ht="60.6" customHeight="1">
      <c r="A210" s="300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</row>
    <row r="211" spans="1:25" ht="60.6" customHeight="1">
      <c r="A211" s="300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</row>
    <row r="212" spans="1:25" ht="60.6" customHeight="1">
      <c r="A212" s="300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</row>
    <row r="213" spans="1:25" ht="60.6" customHeight="1">
      <c r="A213" s="300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</row>
    <row r="214" spans="1:25" ht="60.6" customHeight="1">
      <c r="A214" s="300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</row>
    <row r="215" spans="1:25" ht="60.6" customHeight="1">
      <c r="A215" s="300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</row>
    <row r="216" spans="1:25" ht="60.6" customHeight="1">
      <c r="A216" s="300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</row>
    <row r="217" spans="1:25" ht="60.6" customHeight="1">
      <c r="A217" s="300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</row>
    <row r="218" spans="1:25" ht="60.6" customHeight="1">
      <c r="A218" s="300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</row>
    <row r="219" spans="1:25" ht="60.6" customHeight="1">
      <c r="A219" s="300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</row>
    <row r="220" spans="1:25" ht="60.6" customHeight="1">
      <c r="A220" s="300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</row>
    <row r="221" spans="1:25" ht="60.6" customHeight="1">
      <c r="A221" s="300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</row>
    <row r="222" spans="1:25" ht="60.6" customHeight="1">
      <c r="A222" s="300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</row>
    <row r="223" spans="1:25" ht="60.6" customHeight="1">
      <c r="A223" s="300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</row>
    <row r="224" spans="1:25" ht="60.6" customHeight="1">
      <c r="A224" s="300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</row>
    <row r="225" spans="1:25" ht="60.6" customHeight="1">
      <c r="A225" s="300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</row>
    <row r="226" spans="1:25" ht="60.6" customHeight="1">
      <c r="A226" s="300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</row>
    <row r="227" spans="1:25" ht="60.6" customHeight="1">
      <c r="A227" s="300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</row>
    <row r="228" spans="1:25" ht="60.6" customHeight="1">
      <c r="A228" s="300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</row>
    <row r="229" spans="1:25" ht="60.6" customHeight="1">
      <c r="A229" s="300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</row>
    <row r="230" spans="1:25" ht="60.6" customHeight="1">
      <c r="A230" s="300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</row>
    <row r="231" spans="1:25" ht="60.6" customHeight="1">
      <c r="A231" s="300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</row>
    <row r="232" spans="1:25" ht="60.6" customHeight="1">
      <c r="A232" s="300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</row>
    <row r="233" spans="1:25" ht="60.6" customHeight="1">
      <c r="A233" s="300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</row>
    <row r="234" spans="1:25" ht="60.6" customHeight="1">
      <c r="A234" s="300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</row>
    <row r="235" spans="1:25" ht="60.6" customHeight="1">
      <c r="A235" s="300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</row>
    <row r="236" spans="1:25" ht="60.6" customHeight="1">
      <c r="A236" s="300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</row>
    <row r="237" spans="1:25" ht="60.6" customHeight="1">
      <c r="A237" s="300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</row>
    <row r="238" spans="1:25" ht="60.6" customHeight="1">
      <c r="A238" s="300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</row>
    <row r="239" spans="1:25" ht="60.6" customHeight="1">
      <c r="A239" s="300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</row>
    <row r="240" spans="1:25" ht="60.6" customHeight="1">
      <c r="A240" s="300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</row>
    <row r="241" spans="1:25" ht="60.6" customHeight="1">
      <c r="A241" s="300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</row>
    <row r="242" spans="1:25" ht="60.6" customHeight="1">
      <c r="A242" s="300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</row>
    <row r="243" spans="1:25" ht="60.6" customHeight="1">
      <c r="A243" s="300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</row>
    <row r="244" spans="1:25" ht="60.6" customHeight="1">
      <c r="A244" s="300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</row>
    <row r="245" spans="1:25" ht="60.6" customHeight="1">
      <c r="A245" s="300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</row>
    <row r="246" spans="1:25" ht="60.6" customHeight="1">
      <c r="A246" s="300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</row>
    <row r="247" spans="1:25" ht="60.6" customHeight="1">
      <c r="A247" s="300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</row>
    <row r="248" spans="1:25" ht="60.6" customHeight="1">
      <c r="A248" s="300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</row>
    <row r="249" spans="1:25" ht="60.6" customHeight="1">
      <c r="A249" s="300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</row>
    <row r="250" spans="1:25" ht="60.6" customHeight="1">
      <c r="A250" s="300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</row>
    <row r="251" spans="1:25" ht="60.6" customHeight="1">
      <c r="A251" s="300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</row>
    <row r="252" spans="1:25" ht="60.6" customHeight="1">
      <c r="A252" s="300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</row>
    <row r="253" spans="1:25" ht="60.6" customHeight="1">
      <c r="A253" s="300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</row>
    <row r="254" spans="1:25" ht="60.6" customHeight="1">
      <c r="A254" s="300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</row>
    <row r="255" spans="1:25" ht="60.6" customHeight="1">
      <c r="A255" s="300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</row>
    <row r="256" spans="1:25" ht="60.6" customHeight="1">
      <c r="A256" s="300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</row>
    <row r="257" spans="1:25" ht="60.6" customHeight="1">
      <c r="A257" s="300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</row>
    <row r="258" spans="1:25" ht="60.6" customHeight="1">
      <c r="A258" s="300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</row>
    <row r="259" spans="1:25" ht="60.6" customHeight="1">
      <c r="A259" s="300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</row>
    <row r="260" spans="1:25" ht="60.6" customHeight="1">
      <c r="A260" s="300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</row>
    <row r="261" spans="1:25" ht="60.6" customHeight="1">
      <c r="A261" s="300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</row>
    <row r="262" spans="1:25" ht="60.6" customHeight="1">
      <c r="A262" s="300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</row>
    <row r="263" spans="1:25" ht="60.6" customHeight="1">
      <c r="A263" s="300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</row>
    <row r="264" spans="1:25" ht="60.6" customHeight="1">
      <c r="A264" s="300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</row>
    <row r="265" spans="1:25" ht="60.6" customHeight="1">
      <c r="A265" s="300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</row>
    <row r="266" spans="1:25" ht="60.6" customHeight="1">
      <c r="A266" s="300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</row>
    <row r="267" spans="1:25" ht="60.6" customHeight="1">
      <c r="A267" s="300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</row>
    <row r="268" spans="1:25" ht="60.6" customHeight="1">
      <c r="A268" s="300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</row>
    <row r="269" spans="1:25" ht="60.6" customHeight="1">
      <c r="A269" s="300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</row>
    <row r="270" spans="1:25" ht="60.6" customHeight="1">
      <c r="A270" s="300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</row>
    <row r="271" spans="1:25" ht="60.6" customHeight="1">
      <c r="A271" s="300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</row>
    <row r="272" spans="1:25" ht="60.6" customHeight="1">
      <c r="A272" s="300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</row>
    <row r="273" spans="1:25" ht="60.6" customHeight="1">
      <c r="A273" s="300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</row>
    <row r="274" spans="1:25" ht="60.6" customHeight="1">
      <c r="A274" s="300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</row>
    <row r="275" spans="1:25" ht="60.6" customHeight="1">
      <c r="A275" s="300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</row>
    <row r="276" spans="1:25" ht="60.6" customHeight="1">
      <c r="A276" s="300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</row>
    <row r="277" spans="1:25" ht="60.6" customHeight="1">
      <c r="A277" s="300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</row>
    <row r="278" spans="1:25" ht="60.6" customHeight="1">
      <c r="A278" s="300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</row>
    <row r="279" spans="1:25" ht="60.6" customHeight="1">
      <c r="A279" s="300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</row>
    <row r="280" spans="1:25" ht="60.6" customHeight="1">
      <c r="A280" s="300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</row>
    <row r="281" spans="1:25" ht="60.6" customHeight="1">
      <c r="A281" s="300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</row>
    <row r="282" spans="1:25" ht="60.6" customHeight="1">
      <c r="A282" s="300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</row>
    <row r="283" spans="1:25" ht="60.6" customHeight="1">
      <c r="A283" s="300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</row>
    <row r="284" spans="1:25" ht="60.6" customHeight="1">
      <c r="A284" s="300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</row>
    <row r="285" spans="1:25" ht="60.6" customHeight="1">
      <c r="A285" s="300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</row>
    <row r="286" spans="1:25" ht="60.6" customHeight="1">
      <c r="A286" s="300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</row>
    <row r="287" spans="1:25" ht="60.6" customHeight="1">
      <c r="A287" s="300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</row>
    <row r="288" spans="1:25" ht="60.6" customHeight="1">
      <c r="A288" s="300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</row>
    <row r="289" spans="1:25" ht="60.6" customHeight="1">
      <c r="A289" s="300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</row>
    <row r="290" spans="1:25" ht="60.6" customHeight="1">
      <c r="A290" s="300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</row>
    <row r="291" spans="1:25" ht="60.6" customHeight="1">
      <c r="A291" s="300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</row>
    <row r="292" spans="1:25" ht="60.6" customHeight="1">
      <c r="A292" s="300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</row>
    <row r="293" spans="1:25" ht="60.6" customHeight="1">
      <c r="A293" s="300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</row>
    <row r="294" spans="1:25" ht="60.6" customHeight="1">
      <c r="A294" s="300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</row>
    <row r="295" spans="1:25" ht="60.6" customHeight="1">
      <c r="A295" s="300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</row>
    <row r="296" spans="1:25" ht="60.6" customHeight="1">
      <c r="A296" s="300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</row>
    <row r="297" spans="1:25" ht="60.6" customHeight="1">
      <c r="A297" s="300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</row>
    <row r="298" spans="1:25" ht="60.6" customHeight="1">
      <c r="A298" s="300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</row>
    <row r="299" spans="1:25" ht="60.6" customHeight="1">
      <c r="A299" s="300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</row>
    <row r="300" spans="1:25" ht="60.6" customHeight="1">
      <c r="A300" s="300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</row>
    <row r="301" spans="1:25" ht="60.6" customHeight="1">
      <c r="A301" s="300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</row>
    <row r="302" spans="1:25" ht="60.6" customHeight="1">
      <c r="A302" s="300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</row>
    <row r="303" spans="1:25" ht="60.6" customHeight="1">
      <c r="A303" s="300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</row>
    <row r="304" spans="1:25" ht="60.6" customHeight="1">
      <c r="A304" s="300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</row>
    <row r="305" spans="1:25" ht="60.6" customHeight="1">
      <c r="A305" s="300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</row>
    <row r="306" spans="1:25" ht="60.6" customHeight="1">
      <c r="A306" s="300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</row>
    <row r="307" spans="1:25" ht="60.6" customHeight="1">
      <c r="A307" s="300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</row>
    <row r="308" spans="1:25" ht="60.6" customHeight="1">
      <c r="A308" s="300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</row>
    <row r="309" spans="1:25" ht="60.6" customHeight="1">
      <c r="A309" s="300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</row>
    <row r="310" spans="1:25" ht="60.6" customHeight="1">
      <c r="A310" s="300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</row>
    <row r="311" spans="1:25" ht="60.6" customHeight="1">
      <c r="A311" s="300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</row>
    <row r="312" spans="1:25" ht="60.6" customHeight="1">
      <c r="A312" s="300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</row>
    <row r="313" spans="1:25" ht="60.6" customHeight="1">
      <c r="A313" s="300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</row>
    <row r="314" spans="1:25" ht="60.6" customHeight="1">
      <c r="A314" s="300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</row>
    <row r="315" spans="1:25" ht="60.6" customHeight="1">
      <c r="A315" s="300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</row>
    <row r="316" spans="1:25" ht="60.6" customHeight="1">
      <c r="A316" s="300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</row>
    <row r="317" spans="1:25" ht="60.6" customHeight="1">
      <c r="A317" s="300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</row>
    <row r="318" spans="1:25" ht="60.6" customHeight="1">
      <c r="A318" s="300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</row>
    <row r="319" spans="1:25" ht="60.6" customHeight="1">
      <c r="A319" s="300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</row>
    <row r="320" spans="1:25" ht="60.6" customHeight="1">
      <c r="A320" s="300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</row>
    <row r="321" spans="1:25" ht="60.6" customHeight="1">
      <c r="A321" s="300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</row>
    <row r="322" spans="1:25" ht="60.6" customHeight="1">
      <c r="A322" s="300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</row>
    <row r="323" spans="1:25" ht="60.6" customHeight="1">
      <c r="A323" s="300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</row>
    <row r="324" spans="1:25" ht="60.6" customHeight="1">
      <c r="A324" s="300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</row>
    <row r="325" spans="1:25" ht="60.6" customHeight="1">
      <c r="A325" s="300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</row>
    <row r="326" spans="1:25" ht="60.6" customHeight="1">
      <c r="A326" s="300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</row>
    <row r="327" spans="1:25" ht="60.6" customHeight="1">
      <c r="A327" s="300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</row>
    <row r="328" spans="1:25" ht="60.6" customHeight="1">
      <c r="A328" s="300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</row>
    <row r="329" spans="1:25" ht="60.6" customHeight="1">
      <c r="A329" s="300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</row>
    <row r="330" spans="1:25" ht="60.6" customHeight="1">
      <c r="A330" s="300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</row>
    <row r="331" spans="1:25" ht="60.6" customHeight="1">
      <c r="A331" s="300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</row>
    <row r="332" spans="1:25" ht="60.6" customHeight="1">
      <c r="A332" s="300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</row>
    <row r="333" spans="1:25" ht="60.6" customHeight="1">
      <c r="A333" s="300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</row>
    <row r="334" spans="1:25" ht="60.6" customHeight="1">
      <c r="A334" s="300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</row>
    <row r="335" spans="1:25" ht="60.6" customHeight="1">
      <c r="A335" s="300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</row>
    <row r="336" spans="1:25" ht="60.6" customHeight="1">
      <c r="A336" s="300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</row>
    <row r="337" spans="1:25" ht="60.6" customHeight="1">
      <c r="A337" s="300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</row>
    <row r="338" spans="1:25" ht="60.6" customHeight="1">
      <c r="A338" s="300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</row>
    <row r="339" spans="1:25" ht="60.6" customHeight="1">
      <c r="A339" s="300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</row>
    <row r="340" spans="1:25" ht="60.6" customHeight="1">
      <c r="A340" s="300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</row>
    <row r="341" spans="1:25" ht="60.6" customHeight="1">
      <c r="A341" s="300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</row>
    <row r="342" spans="1:25" ht="60.6" customHeight="1">
      <c r="A342" s="300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</row>
    <row r="343" spans="1:25" ht="60.6" customHeight="1">
      <c r="A343" s="300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</row>
    <row r="344" spans="1:25" ht="60.6" customHeight="1">
      <c r="A344" s="300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</row>
    <row r="345" spans="1:25" ht="60.6" customHeight="1">
      <c r="A345" s="300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</row>
    <row r="346" spans="1:25" ht="60.6" customHeight="1">
      <c r="A346" s="300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</row>
    <row r="347" spans="1:25" ht="60.6" customHeight="1">
      <c r="A347" s="300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</row>
    <row r="348" spans="1:25" ht="60.6" customHeight="1">
      <c r="A348" s="300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</row>
    <row r="349" spans="1:25" ht="60.6" customHeight="1">
      <c r="A349" s="300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</row>
    <row r="350" spans="1:25" ht="60.6" customHeight="1">
      <c r="A350" s="300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</row>
    <row r="351" spans="1:25" ht="60.6" customHeight="1">
      <c r="A351" s="300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</row>
    <row r="352" spans="1:25" ht="60.6" customHeight="1">
      <c r="A352" s="300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</row>
    <row r="353" spans="1:25" ht="60.6" customHeight="1">
      <c r="A353" s="300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</row>
    <row r="354" spans="1:25" ht="60.6" customHeight="1">
      <c r="A354" s="300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</row>
    <row r="355" spans="1:25" ht="60.6" customHeight="1">
      <c r="A355" s="300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</row>
    <row r="356" spans="1:25" ht="60.6" customHeight="1">
      <c r="A356" s="300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</row>
    <row r="357" spans="1:25" ht="60.6" customHeight="1">
      <c r="A357" s="300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</row>
    <row r="358" spans="1:25" ht="60.6" customHeight="1">
      <c r="A358" s="300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</row>
    <row r="359" spans="1:25" ht="60.6" customHeight="1">
      <c r="A359" s="300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</row>
    <row r="360" spans="1:25" ht="60.6" customHeight="1">
      <c r="A360" s="300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</row>
    <row r="361" spans="1:25" ht="60.6" customHeight="1">
      <c r="A361" s="300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</row>
    <row r="362" spans="1:25" ht="60.6" customHeight="1">
      <c r="A362" s="300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</row>
    <row r="363" spans="1:25" ht="60.6" customHeight="1">
      <c r="A363" s="300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</row>
    <row r="364" spans="1:25" ht="60.6" customHeight="1">
      <c r="A364" s="300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</row>
    <row r="365" spans="1:25" ht="60.6" customHeight="1">
      <c r="A365" s="300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</row>
    <row r="366" spans="1:25" ht="60.6" customHeight="1">
      <c r="A366" s="300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</row>
    <row r="367" spans="1:25" ht="60.6" customHeight="1">
      <c r="A367" s="300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</row>
    <row r="368" spans="1:25" ht="60.6" customHeight="1">
      <c r="A368" s="300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</row>
    <row r="369" spans="1:25" ht="60.6" customHeight="1">
      <c r="A369" s="300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</row>
    <row r="370" spans="1:25" ht="60.6" customHeight="1">
      <c r="A370" s="300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</row>
    <row r="371" spans="1:25" ht="60.6" customHeight="1">
      <c r="A371" s="300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</row>
    <row r="372" spans="1:25" ht="60.6" customHeight="1">
      <c r="A372" s="300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</row>
    <row r="373" spans="1:25" ht="60.6" customHeight="1">
      <c r="A373" s="300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</row>
    <row r="374" spans="1:25" ht="60.6" customHeight="1">
      <c r="A374" s="300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</row>
    <row r="375" spans="1:25" ht="60.6" customHeight="1">
      <c r="A375" s="300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</row>
    <row r="376" spans="1:25" ht="60.6" customHeight="1">
      <c r="A376" s="300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</row>
    <row r="377" spans="1:25" ht="60.6" customHeight="1">
      <c r="A377" s="300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</row>
    <row r="378" spans="1:25" ht="60.6" customHeight="1">
      <c r="A378" s="300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</row>
    <row r="379" spans="1:25" ht="60.6" customHeight="1">
      <c r="A379" s="300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</row>
    <row r="380" spans="1:25" ht="60.6" customHeight="1">
      <c r="A380" s="300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</row>
    <row r="381" spans="1:25" ht="60.6" customHeight="1">
      <c r="A381" s="300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</row>
    <row r="382" spans="1:25" ht="60.6" customHeight="1">
      <c r="A382" s="300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</row>
    <row r="383" spans="1:25" ht="60.6" customHeight="1">
      <c r="A383" s="300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</row>
    <row r="384" spans="1:25" ht="60.6" customHeight="1">
      <c r="A384" s="300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</row>
    <row r="385" spans="1:25" ht="60.6" customHeight="1">
      <c r="A385" s="300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</row>
    <row r="386" spans="1:25" ht="60.6" customHeight="1">
      <c r="A386" s="300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</row>
    <row r="387" spans="1:25" ht="60.6" customHeight="1">
      <c r="A387" s="300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</row>
    <row r="388" spans="1:25" ht="60.6" customHeight="1">
      <c r="A388" s="300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</row>
    <row r="389" spans="1:25" ht="60.6" customHeight="1">
      <c r="A389" s="300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</row>
    <row r="390" spans="1:25" ht="60.6" customHeight="1">
      <c r="A390" s="300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</row>
    <row r="391" spans="1:25" ht="60.6" customHeight="1">
      <c r="A391" s="300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</row>
    <row r="392" spans="1:25" ht="60.6" customHeight="1">
      <c r="A392" s="300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</row>
    <row r="393" spans="1:25" ht="60.6" customHeight="1">
      <c r="A393" s="300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</row>
    <row r="394" spans="1:25" ht="60.6" customHeight="1">
      <c r="A394" s="300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</row>
    <row r="395" spans="1:25" ht="60.6" customHeight="1">
      <c r="A395" s="300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</row>
    <row r="396" spans="1:25" ht="60.6" customHeight="1">
      <c r="A396" s="300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</row>
    <row r="397" spans="1:25" ht="60.6" customHeight="1">
      <c r="A397" s="300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</row>
    <row r="398" spans="1:25" ht="60.6" customHeight="1">
      <c r="A398" s="300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</row>
    <row r="399" spans="1:25" ht="60.6" customHeight="1">
      <c r="A399" s="300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</row>
    <row r="400" spans="1:25" ht="60.6" customHeight="1">
      <c r="A400" s="300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</row>
    <row r="401" spans="1:25" ht="60.6" customHeight="1">
      <c r="A401" s="300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</row>
    <row r="402" spans="1:25" ht="60.6" customHeight="1">
      <c r="A402" s="300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</row>
    <row r="403" spans="1:25" ht="60.6" customHeight="1">
      <c r="A403" s="300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</row>
    <row r="404" spans="1:25" ht="60.6" customHeight="1">
      <c r="A404" s="300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</row>
    <row r="405" spans="1:25" ht="60.6" customHeight="1">
      <c r="A405" s="300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</row>
    <row r="406" spans="1:25" ht="60.6" customHeight="1">
      <c r="A406" s="300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</row>
    <row r="407" spans="1:25" ht="60.6" customHeight="1">
      <c r="A407" s="300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</row>
    <row r="408" spans="1:25" ht="60.6" customHeight="1">
      <c r="A408" s="300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</row>
    <row r="409" spans="1:25" ht="60.6" customHeight="1">
      <c r="A409" s="300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</row>
    <row r="410" spans="1:25" ht="60.6" customHeight="1">
      <c r="A410" s="300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</row>
    <row r="411" spans="1:25" ht="60.6" customHeight="1">
      <c r="A411" s="300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</row>
    <row r="412" spans="1:25" ht="60.6" customHeight="1">
      <c r="A412" s="300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</row>
    <row r="413" spans="1:25" ht="60.6" customHeight="1">
      <c r="A413" s="300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</row>
    <row r="414" spans="1:25" ht="60.6" customHeight="1">
      <c r="A414" s="300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</row>
    <row r="415" spans="1:25" ht="60.6" customHeight="1">
      <c r="A415" s="300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</row>
    <row r="416" spans="1:25" ht="60.6" customHeight="1">
      <c r="A416" s="300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</row>
    <row r="417" spans="1:25" ht="60.6" customHeight="1">
      <c r="A417" s="300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</row>
    <row r="418" spans="1:25" ht="60.6" customHeight="1">
      <c r="A418" s="300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</row>
    <row r="419" spans="1:25" ht="60.6" customHeight="1">
      <c r="A419" s="300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</row>
    <row r="420" spans="1:25" ht="60.6" customHeight="1">
      <c r="A420" s="300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</row>
    <row r="421" spans="1:25" ht="60.6" customHeight="1">
      <c r="A421" s="300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</row>
    <row r="422" spans="1:25" ht="60.6" customHeight="1">
      <c r="A422" s="300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</row>
    <row r="423" spans="1:25" ht="60.6" customHeight="1">
      <c r="A423" s="300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</row>
    <row r="424" spans="1:25" ht="60.6" customHeight="1">
      <c r="A424" s="300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</row>
    <row r="425" spans="1:25" ht="60.6" customHeight="1">
      <c r="A425" s="300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</row>
    <row r="426" spans="1:25" ht="60.6" customHeight="1">
      <c r="A426" s="300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</row>
    <row r="427" spans="1:25" ht="60.6" customHeight="1">
      <c r="A427" s="300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</row>
    <row r="428" spans="1:25" ht="60.6" customHeight="1">
      <c r="A428" s="300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</row>
    <row r="429" spans="1:25" ht="60.6" customHeight="1">
      <c r="A429" s="300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</row>
    <row r="430" spans="1:25" ht="60.6" customHeight="1">
      <c r="A430" s="300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</row>
    <row r="431" spans="1:25" ht="60.6" customHeight="1">
      <c r="A431" s="300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</row>
    <row r="432" spans="1:25" ht="60.6" customHeight="1">
      <c r="A432" s="300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</row>
    <row r="433" spans="1:25" ht="60.6" customHeight="1">
      <c r="A433" s="300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</row>
    <row r="434" spans="1:25" ht="60.6" customHeight="1">
      <c r="A434" s="300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</row>
    <row r="435" spans="1:25" ht="60.6" customHeight="1">
      <c r="A435" s="300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</row>
    <row r="436" spans="1:25" ht="60.6" customHeight="1">
      <c r="A436" s="300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</row>
    <row r="437" spans="1:25" ht="60.6" customHeight="1">
      <c r="A437" s="300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</row>
    <row r="438" spans="1:25" ht="60.6" customHeight="1">
      <c r="A438" s="300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</row>
    <row r="439" spans="1:25" ht="60.6" customHeight="1">
      <c r="A439" s="300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</row>
    <row r="440" spans="1:25" ht="60.6" customHeight="1">
      <c r="A440" s="300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</row>
    <row r="441" spans="1:25" ht="60.6" customHeight="1">
      <c r="A441" s="300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</row>
    <row r="442" spans="1:25" ht="60.6" customHeight="1">
      <c r="A442" s="300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</row>
    <row r="443" spans="1:25" ht="60.6" customHeight="1">
      <c r="A443" s="300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</row>
    <row r="444" spans="1:25" ht="60.6" customHeight="1">
      <c r="A444" s="300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</row>
    <row r="445" spans="1:25" ht="60.6" customHeight="1">
      <c r="A445" s="300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</row>
    <row r="446" spans="1:25" ht="60.6" customHeight="1">
      <c r="A446" s="300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</row>
    <row r="447" spans="1:25" ht="60.6" customHeight="1">
      <c r="A447" s="300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</row>
    <row r="448" spans="1:25" ht="60.6" customHeight="1">
      <c r="A448" s="300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</row>
    <row r="449" spans="1:25" ht="60.6" customHeight="1">
      <c r="A449" s="300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</row>
    <row r="450" spans="1:25" ht="60.6" customHeight="1">
      <c r="A450" s="300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</row>
    <row r="451" spans="1:25" ht="60.6" customHeight="1">
      <c r="A451" s="300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</row>
    <row r="452" spans="1:25" ht="60.6" customHeight="1">
      <c r="A452" s="300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</row>
    <row r="453" spans="1:25" ht="60.6" customHeight="1">
      <c r="A453" s="300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</row>
    <row r="454" spans="1:25" ht="60.6" customHeight="1">
      <c r="A454" s="300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</row>
    <row r="455" spans="1:25" ht="60.6" customHeight="1">
      <c r="A455" s="300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</row>
    <row r="456" spans="1:25" ht="60.6" customHeight="1">
      <c r="A456" s="300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</row>
    <row r="457" spans="1:25" ht="60.6" customHeight="1">
      <c r="A457" s="300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</row>
    <row r="458" spans="1:25" ht="60.6" customHeight="1">
      <c r="A458" s="300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</row>
    <row r="459" spans="1:25" ht="60.6" customHeight="1">
      <c r="A459" s="300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</row>
    <row r="460" spans="1:25" ht="60.6" customHeight="1">
      <c r="A460" s="300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</row>
    <row r="461" spans="1:25" ht="60.6" customHeight="1">
      <c r="A461" s="300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</row>
    <row r="462" spans="1:25" ht="60.6" customHeight="1">
      <c r="A462" s="300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</row>
    <row r="463" spans="1:25" ht="60.6" customHeight="1">
      <c r="A463" s="300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</row>
    <row r="464" spans="1:25" ht="60.6" customHeight="1">
      <c r="A464" s="300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</row>
    <row r="465" spans="1:25" ht="60.6" customHeight="1">
      <c r="A465" s="300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</row>
    <row r="466" spans="1:25" ht="60.6" customHeight="1">
      <c r="A466" s="300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</row>
    <row r="467" spans="1:25" ht="60.6" customHeight="1">
      <c r="A467" s="300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</row>
    <row r="468" spans="1:25" ht="60.6" customHeight="1">
      <c r="A468" s="300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</row>
    <row r="469" spans="1:25" ht="60.6" customHeight="1">
      <c r="A469" s="300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</row>
    <row r="470" spans="1:25" ht="60.6" customHeight="1">
      <c r="A470" s="300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</row>
    <row r="471" spans="1:25" ht="60.6" customHeight="1">
      <c r="A471" s="300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</row>
    <row r="472" spans="1:25" ht="60.6" customHeight="1">
      <c r="A472" s="300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</row>
    <row r="473" spans="1:25" ht="60.6" customHeight="1">
      <c r="A473" s="300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</row>
    <row r="474" spans="1:25" ht="60.6" customHeight="1">
      <c r="A474" s="300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</row>
    <row r="475" spans="1:25" ht="60.6" customHeight="1">
      <c r="A475" s="300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</row>
    <row r="476" spans="1:25" ht="60.6" customHeight="1">
      <c r="A476" s="300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</row>
    <row r="477" spans="1:25" ht="60.6" customHeight="1">
      <c r="A477" s="300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</row>
    <row r="478" spans="1:25" ht="60.6" customHeight="1">
      <c r="A478" s="300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</row>
    <row r="479" spans="1:25" ht="60.6" customHeight="1">
      <c r="A479" s="300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</row>
    <row r="480" spans="1:25" ht="60.6" customHeight="1">
      <c r="A480" s="300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</row>
    <row r="481" spans="1:25" ht="60.6" customHeight="1">
      <c r="A481" s="300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</row>
    <row r="482" spans="1:25" ht="60.6" customHeight="1">
      <c r="A482" s="300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</row>
    <row r="483" spans="1:25" ht="60.6" customHeight="1">
      <c r="A483" s="300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</row>
    <row r="484" spans="1:25" ht="60.6" customHeight="1">
      <c r="A484" s="300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</row>
    <row r="485" spans="1:25" ht="60.6" customHeight="1">
      <c r="A485" s="300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</row>
    <row r="486" spans="1:25" ht="60.6" customHeight="1">
      <c r="A486" s="300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</row>
    <row r="487" spans="1:25" ht="60.6" customHeight="1">
      <c r="A487" s="300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</row>
    <row r="488" spans="1:25" ht="60.6" customHeight="1">
      <c r="A488" s="300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</row>
    <row r="489" spans="1:25" ht="60.6" customHeight="1">
      <c r="A489" s="300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</row>
    <row r="490" spans="1:25" ht="60.6" customHeight="1">
      <c r="A490" s="300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</row>
    <row r="491" spans="1:25" ht="60.6" customHeight="1">
      <c r="A491" s="300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</row>
    <row r="492" spans="1:25" ht="60.6" customHeight="1">
      <c r="A492" s="300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</row>
    <row r="493" spans="1:25" ht="60.6" customHeight="1">
      <c r="A493" s="300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</row>
    <row r="494" spans="1:25" ht="60.6" customHeight="1">
      <c r="A494" s="300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</row>
    <row r="495" spans="1:25" ht="60.6" customHeight="1">
      <c r="A495" s="300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</row>
    <row r="496" spans="1:25" ht="60.6" customHeight="1">
      <c r="A496" s="300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</row>
    <row r="497" spans="1:25" ht="60.6" customHeight="1">
      <c r="A497" s="300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</row>
    <row r="498" spans="1:25" ht="60.6" customHeight="1">
      <c r="A498" s="300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</row>
    <row r="499" spans="1:25" ht="60.6" customHeight="1">
      <c r="A499" s="300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</row>
    <row r="500" spans="1:25" ht="60.6" customHeight="1">
      <c r="A500" s="300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</row>
    <row r="501" spans="1:25" ht="60.6" customHeight="1">
      <c r="A501" s="300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</row>
    <row r="502" spans="1:25" ht="60.6" customHeight="1">
      <c r="A502" s="300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</row>
    <row r="503" spans="1:25" ht="60.6" customHeight="1">
      <c r="A503" s="300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</row>
    <row r="504" spans="1:25" ht="60.6" customHeight="1">
      <c r="A504" s="300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</row>
    <row r="505" spans="1:25" ht="60.6" customHeight="1">
      <c r="A505" s="300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</row>
    <row r="506" spans="1:25" ht="60.6" customHeight="1">
      <c r="A506" s="300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</row>
    <row r="507" spans="1:25" ht="60.6" customHeight="1">
      <c r="A507" s="300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</row>
    <row r="508" spans="1:25" ht="60.6" customHeight="1">
      <c r="A508" s="300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</row>
    <row r="509" spans="1:25" ht="60.6" customHeight="1">
      <c r="A509" s="300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</row>
    <row r="510" spans="1:25" ht="60.6" customHeight="1">
      <c r="A510" s="300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</row>
    <row r="511" spans="1:25" ht="60.6" customHeight="1">
      <c r="A511" s="300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</row>
    <row r="512" spans="1:25" ht="60.6" customHeight="1">
      <c r="A512" s="300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</row>
    <row r="513" spans="1:25" ht="60.6" customHeight="1">
      <c r="A513" s="300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</row>
    <row r="514" spans="1:25" ht="60.6" customHeight="1">
      <c r="A514" s="300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</row>
    <row r="515" spans="1:25" ht="60.6" customHeight="1">
      <c r="A515" s="300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</row>
    <row r="516" spans="1:25" ht="60.6" customHeight="1">
      <c r="A516" s="300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</row>
    <row r="517" spans="1:25" ht="60.6" customHeight="1">
      <c r="A517" s="300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</row>
    <row r="518" spans="1:25" ht="60.6" customHeight="1">
      <c r="A518" s="300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</row>
    <row r="519" spans="1:25" ht="60.6" customHeight="1">
      <c r="A519" s="300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</row>
    <row r="520" spans="1:25" ht="60.6" customHeight="1">
      <c r="A520" s="300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</row>
    <row r="521" spans="1:25" ht="60.6" customHeight="1">
      <c r="A521" s="300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</row>
    <row r="522" spans="1:25" ht="60.6" customHeight="1">
      <c r="A522" s="300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</row>
    <row r="523" spans="1:25" ht="60.6" customHeight="1">
      <c r="A523" s="300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</row>
    <row r="524" spans="1:25" ht="60.6" customHeight="1">
      <c r="A524" s="300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</row>
    <row r="525" spans="1:25" ht="60.6" customHeight="1">
      <c r="A525" s="300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</row>
    <row r="526" spans="1:25" ht="60.6" customHeight="1">
      <c r="A526" s="300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</row>
    <row r="527" spans="1:25" ht="60.6" customHeight="1">
      <c r="A527" s="300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</row>
    <row r="528" spans="1:25" ht="60.6" customHeight="1">
      <c r="A528" s="300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</row>
    <row r="529" spans="1:25" ht="60.6" customHeight="1">
      <c r="A529" s="300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</row>
    <row r="530" spans="1:25" ht="60.6" customHeight="1">
      <c r="A530" s="300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</row>
    <row r="531" spans="1:25" ht="60.6" customHeight="1">
      <c r="A531" s="300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</row>
    <row r="532" spans="1:25" ht="60.6" customHeight="1">
      <c r="A532" s="300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</row>
    <row r="533" spans="1:25" ht="60.6" customHeight="1">
      <c r="A533" s="300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</row>
    <row r="534" spans="1:25" ht="60.6" customHeight="1">
      <c r="A534" s="300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</row>
    <row r="535" spans="1:25" ht="60.6" customHeight="1">
      <c r="A535" s="300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</row>
    <row r="536" spans="1:25" ht="60.6" customHeight="1">
      <c r="A536" s="300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</row>
    <row r="537" spans="1:25" ht="60.6" customHeight="1">
      <c r="A537" s="300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</row>
    <row r="538" spans="1:25" ht="60.6" customHeight="1">
      <c r="A538" s="300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</row>
    <row r="539" spans="1:25" ht="60.6" customHeight="1">
      <c r="A539" s="300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</row>
    <row r="540" spans="1:25" ht="60.6" customHeight="1">
      <c r="A540" s="300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</row>
    <row r="541" spans="1:25" ht="60.6" customHeight="1">
      <c r="A541" s="300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</row>
    <row r="542" spans="1:25" ht="60.6" customHeight="1">
      <c r="A542" s="300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</row>
    <row r="543" spans="1:25" ht="60.6" customHeight="1">
      <c r="A543" s="300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</row>
    <row r="544" spans="1:25" ht="60.6" customHeight="1">
      <c r="A544" s="300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</row>
    <row r="545" spans="1:25" ht="60.6" customHeight="1">
      <c r="A545" s="300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</row>
    <row r="546" spans="1:25" ht="60.6" customHeight="1">
      <c r="A546" s="300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</row>
    <row r="547" spans="1:25" ht="60.6" customHeight="1">
      <c r="A547" s="300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</row>
    <row r="548" spans="1:25" ht="60.6" customHeight="1">
      <c r="A548" s="300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</row>
    <row r="549" spans="1:25" ht="60.6" customHeight="1">
      <c r="A549" s="300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</row>
    <row r="550" spans="1:25" ht="60.6" customHeight="1">
      <c r="A550" s="300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</row>
    <row r="551" spans="1:25" ht="60.6" customHeight="1">
      <c r="A551" s="300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</row>
    <row r="552" spans="1:25" ht="60.6" customHeight="1">
      <c r="A552" s="300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</row>
    <row r="553" spans="1:25" ht="60.6" customHeight="1">
      <c r="A553" s="300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</row>
    <row r="554" spans="1:25" ht="60.6" customHeight="1">
      <c r="A554" s="300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</row>
    <row r="555" spans="1:25" ht="60.6" customHeight="1">
      <c r="A555" s="300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</row>
    <row r="556" spans="1:25" ht="60.6" customHeight="1">
      <c r="A556" s="300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</row>
    <row r="557" spans="1:25" ht="60.6" customHeight="1">
      <c r="A557" s="300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</row>
    <row r="558" spans="1:25" ht="60.6" customHeight="1">
      <c r="A558" s="300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</row>
    <row r="559" spans="1:25" ht="60.6" customHeight="1">
      <c r="A559" s="300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</row>
    <row r="560" spans="1:25" ht="60.6" customHeight="1">
      <c r="A560" s="300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</row>
    <row r="561" spans="1:25" ht="60.6" customHeight="1">
      <c r="A561" s="300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</row>
    <row r="562" spans="1:25" ht="60.6" customHeight="1">
      <c r="A562" s="300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</row>
    <row r="563" spans="1:25" ht="60.6" customHeight="1">
      <c r="A563" s="300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</row>
    <row r="564" spans="1:25" ht="60.6" customHeight="1">
      <c r="A564" s="300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</row>
    <row r="565" spans="1:25" ht="60.6" customHeight="1">
      <c r="A565" s="300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</row>
    <row r="566" spans="1:25" ht="60.6" customHeight="1">
      <c r="A566" s="300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</row>
    <row r="567" spans="1:25" ht="60.6" customHeight="1">
      <c r="A567" s="300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</row>
    <row r="568" spans="1:25" ht="60.6" customHeight="1">
      <c r="A568" s="300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</row>
    <row r="569" spans="1:25" ht="60.6" customHeight="1">
      <c r="A569" s="300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</row>
    <row r="570" spans="1:25" ht="60.6" customHeight="1">
      <c r="A570" s="300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</row>
    <row r="571" spans="1:25" ht="60.6" customHeight="1">
      <c r="A571" s="300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</row>
    <row r="572" spans="1:25" ht="60.6" customHeight="1">
      <c r="A572" s="300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</row>
    <row r="573" spans="1:25" ht="60.6" customHeight="1">
      <c r="A573" s="300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</row>
    <row r="574" spans="1:25" ht="60.6" customHeight="1">
      <c r="A574" s="300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</row>
    <row r="575" spans="1:25" ht="60.6" customHeight="1">
      <c r="A575" s="300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</row>
    <row r="576" spans="1:25" ht="60.6" customHeight="1">
      <c r="A576" s="300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</row>
    <row r="577" spans="1:25" ht="60.6" customHeight="1">
      <c r="A577" s="300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</row>
    <row r="578" spans="1:25" ht="60.6" customHeight="1">
      <c r="A578" s="300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</row>
    <row r="579" spans="1:25" ht="60.6" customHeight="1">
      <c r="A579" s="300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</row>
    <row r="580" spans="1:25" ht="60.6" customHeight="1">
      <c r="A580" s="300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</row>
    <row r="581" spans="1:25" ht="60.6" customHeight="1">
      <c r="A581" s="300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</row>
    <row r="582" spans="1:25" ht="60.6" customHeight="1">
      <c r="A582" s="300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</row>
    <row r="583" spans="1:25" ht="60.6" customHeight="1">
      <c r="A583" s="300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</row>
    <row r="584" spans="1:25" ht="60.6" customHeight="1">
      <c r="A584" s="300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</row>
    <row r="585" spans="1:25" ht="60.6" customHeight="1">
      <c r="A585" s="300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</row>
    <row r="586" spans="1:25" ht="60.6" customHeight="1">
      <c r="A586" s="300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</row>
    <row r="587" spans="1:25" ht="60.6" customHeight="1">
      <c r="A587" s="300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</row>
    <row r="588" spans="1:25" ht="60.6" customHeight="1">
      <c r="A588" s="300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</row>
    <row r="589" spans="1:25" ht="60.6" customHeight="1">
      <c r="A589" s="300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</row>
    <row r="590" spans="1:25" ht="60.6" customHeight="1">
      <c r="A590" s="300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</row>
    <row r="591" spans="1:25" ht="60.6" customHeight="1">
      <c r="A591" s="300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</row>
    <row r="592" spans="1:25" ht="60.6" customHeight="1">
      <c r="A592" s="300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</row>
    <row r="593" spans="1:25" ht="60.6" customHeight="1">
      <c r="A593" s="300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</row>
    <row r="594" spans="1:25" ht="60.6" customHeight="1">
      <c r="A594" s="300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</row>
    <row r="595" spans="1:25" ht="60.6" customHeight="1">
      <c r="A595" s="300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</row>
    <row r="596" spans="1:25" ht="60.6" customHeight="1">
      <c r="A596" s="300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</row>
    <row r="597" spans="1:25" ht="60.6" customHeight="1">
      <c r="A597" s="300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</row>
    <row r="598" spans="1:25" ht="60.6" customHeight="1">
      <c r="A598" s="300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</row>
    <row r="599" spans="1:25" ht="60.6" customHeight="1">
      <c r="A599" s="300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</row>
    <row r="600" spans="1:25" ht="60.6" customHeight="1">
      <c r="A600" s="300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</row>
    <row r="601" spans="1:25" ht="60.6" customHeight="1">
      <c r="A601" s="300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</row>
    <row r="602" spans="1:25" ht="60.6" customHeight="1">
      <c r="A602" s="300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</row>
    <row r="603" spans="1:25" ht="60.6" customHeight="1">
      <c r="A603" s="300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</row>
    <row r="604" spans="1:25" ht="60.6" customHeight="1">
      <c r="A604" s="300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</row>
    <row r="605" spans="1:25" ht="60.6" customHeight="1">
      <c r="A605" s="300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</row>
    <row r="606" spans="1:25" ht="60.6" customHeight="1">
      <c r="A606" s="300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</row>
    <row r="607" spans="1:25" ht="60.6" customHeight="1">
      <c r="A607" s="300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</row>
    <row r="608" spans="1:25" ht="60.6" customHeight="1">
      <c r="A608" s="300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</row>
    <row r="609" spans="1:25" ht="60.6" customHeight="1">
      <c r="A609" s="300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</row>
    <row r="610" spans="1:25" ht="60.6" customHeight="1">
      <c r="A610" s="300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</row>
    <row r="611" spans="1:25" ht="60.6" customHeight="1">
      <c r="A611" s="300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</row>
    <row r="612" spans="1:25" ht="60.6" customHeight="1">
      <c r="A612" s="300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</row>
    <row r="613" spans="1:25" ht="60.6" customHeight="1">
      <c r="A613" s="300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</row>
    <row r="614" spans="1:25" ht="60.6" customHeight="1">
      <c r="A614" s="300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</row>
    <row r="615" spans="1:25" ht="60.6" customHeight="1">
      <c r="A615" s="300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</row>
    <row r="616" spans="1:25" ht="60.6" customHeight="1">
      <c r="A616" s="300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</row>
    <row r="617" spans="1:25" ht="60.6" customHeight="1">
      <c r="A617" s="300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</row>
    <row r="618" spans="1:25" ht="60.6" customHeight="1">
      <c r="A618" s="300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</row>
    <row r="619" spans="1:25" ht="60.6" customHeight="1">
      <c r="A619" s="300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</row>
    <row r="620" spans="1:25" ht="60.6" customHeight="1">
      <c r="A620" s="300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</row>
    <row r="621" spans="1:25" ht="60.6" customHeight="1">
      <c r="A621" s="300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</row>
    <row r="622" spans="1:25" ht="60.6" customHeight="1">
      <c r="A622" s="300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</row>
    <row r="623" spans="1:25" ht="60.6" customHeight="1">
      <c r="A623" s="300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</row>
    <row r="624" spans="1:25" ht="60.6" customHeight="1">
      <c r="A624" s="300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</row>
    <row r="625" spans="1:25" ht="60.6" customHeight="1">
      <c r="A625" s="300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</row>
    <row r="626" spans="1:25" ht="60.6" customHeight="1">
      <c r="A626" s="300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</row>
    <row r="627" spans="1:25" ht="60.6" customHeight="1">
      <c r="A627" s="300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</row>
    <row r="628" spans="1:25" ht="60.6" customHeight="1">
      <c r="A628" s="300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</row>
    <row r="629" spans="1:25" ht="60.6" customHeight="1">
      <c r="A629" s="300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</row>
    <row r="630" spans="1:25" ht="60.6" customHeight="1">
      <c r="A630" s="300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</row>
    <row r="631" spans="1:25" ht="60.6" customHeight="1">
      <c r="A631" s="300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</row>
    <row r="632" spans="1:25" ht="60.6" customHeight="1">
      <c r="A632" s="300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</row>
    <row r="633" spans="1:25" ht="60.6" customHeight="1">
      <c r="A633" s="300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</row>
    <row r="634" spans="1:25" ht="60.6" customHeight="1">
      <c r="A634" s="300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</row>
    <row r="635" spans="1:25" ht="60.6" customHeight="1">
      <c r="A635" s="300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</row>
    <row r="636" spans="1:25" ht="60.6" customHeight="1">
      <c r="A636" s="300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</row>
    <row r="637" spans="1:25" ht="60.6" customHeight="1">
      <c r="A637" s="300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</row>
    <row r="638" spans="1:25" ht="60.6" customHeight="1">
      <c r="A638" s="300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</row>
    <row r="639" spans="1:25" ht="60.6" customHeight="1">
      <c r="A639" s="300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</row>
    <row r="640" spans="1:25" ht="60.6" customHeight="1">
      <c r="A640" s="300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</row>
    <row r="641" spans="1:25" ht="60.6" customHeight="1">
      <c r="A641" s="300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</row>
    <row r="642" spans="1:25" ht="60.6" customHeight="1">
      <c r="A642" s="300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</row>
    <row r="643" spans="1:25" ht="60.6" customHeight="1">
      <c r="A643" s="300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</row>
    <row r="644" spans="1:25" ht="60.6" customHeight="1">
      <c r="A644" s="300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</row>
    <row r="645" spans="1:25" ht="60.6" customHeight="1">
      <c r="A645" s="300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</row>
    <row r="646" spans="1:25" ht="60.6" customHeight="1">
      <c r="A646" s="300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</row>
    <row r="647" spans="1:25" ht="60.6" customHeight="1">
      <c r="A647" s="300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</row>
    <row r="648" spans="1:25" ht="60.6" customHeight="1">
      <c r="A648" s="300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</row>
    <row r="649" spans="1:25" ht="60.6" customHeight="1">
      <c r="A649" s="300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</row>
    <row r="650" spans="1:25" ht="60.6" customHeight="1">
      <c r="A650" s="300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</row>
    <row r="651" spans="1:25" ht="60.6" customHeight="1">
      <c r="A651" s="300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</row>
    <row r="652" spans="1:25" ht="60.6" customHeight="1">
      <c r="A652" s="300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</row>
    <row r="653" spans="1:25" ht="60.6" customHeight="1">
      <c r="A653" s="300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</row>
    <row r="654" spans="1:25" ht="60.6" customHeight="1">
      <c r="A654" s="300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</row>
    <row r="655" spans="1:25" ht="60.6" customHeight="1">
      <c r="A655" s="300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</row>
    <row r="656" spans="1:25" ht="60.6" customHeight="1">
      <c r="A656" s="300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</row>
    <row r="657" spans="1:25" ht="60.6" customHeight="1">
      <c r="A657" s="300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</row>
    <row r="658" spans="1:25" ht="60.6" customHeight="1">
      <c r="A658" s="300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</row>
    <row r="659" spans="1:25" ht="60.6" customHeight="1">
      <c r="A659" s="300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</row>
    <row r="660" spans="1:25" ht="60.6" customHeight="1">
      <c r="A660" s="300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</row>
    <row r="661" spans="1:25" ht="60.6" customHeight="1">
      <c r="A661" s="300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</row>
    <row r="662" spans="1:25" ht="60.6" customHeight="1">
      <c r="A662" s="300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</row>
    <row r="663" spans="1:25" ht="60.6" customHeight="1">
      <c r="A663" s="300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</row>
    <row r="664" spans="1:25" ht="60.6" customHeight="1">
      <c r="A664" s="300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</row>
    <row r="665" spans="1:25" ht="60.6" customHeight="1">
      <c r="A665" s="300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</row>
    <row r="666" spans="1:25" ht="60.6" customHeight="1">
      <c r="A666" s="300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</row>
    <row r="667" spans="1:25" ht="60.6" customHeight="1">
      <c r="A667" s="300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</row>
    <row r="668" spans="1:25" ht="60.6" customHeight="1">
      <c r="A668" s="300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</row>
    <row r="669" spans="1:25" ht="60.6" customHeight="1">
      <c r="A669" s="300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</row>
    <row r="670" spans="1:25" ht="60.6" customHeight="1">
      <c r="A670" s="300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</row>
    <row r="671" spans="1:25" ht="60.6" customHeight="1">
      <c r="A671" s="300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</row>
    <row r="672" spans="1:25" ht="60.6" customHeight="1">
      <c r="A672" s="300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</row>
    <row r="673" spans="1:25" ht="60.6" customHeight="1">
      <c r="A673" s="300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</row>
    <row r="674" spans="1:25" ht="60.6" customHeight="1">
      <c r="A674" s="300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</row>
    <row r="675" spans="1:25" ht="60.6" customHeight="1">
      <c r="A675" s="300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</row>
    <row r="676" spans="1:25" ht="60.6" customHeight="1">
      <c r="A676" s="300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</row>
    <row r="677" spans="1:25" ht="60.6" customHeight="1">
      <c r="A677" s="300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</row>
    <row r="678" spans="1:25" ht="60.6" customHeight="1">
      <c r="A678" s="300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</row>
    <row r="679" spans="1:25" ht="60.6" customHeight="1">
      <c r="A679" s="300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</row>
    <row r="680" spans="1:25" ht="60.6" customHeight="1">
      <c r="A680" s="300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</row>
    <row r="681" spans="1:25" ht="60.6" customHeight="1">
      <c r="A681" s="300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</row>
    <row r="682" spans="1:25" ht="60.6" customHeight="1">
      <c r="A682" s="300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</row>
    <row r="683" spans="1:25" ht="60.6" customHeight="1">
      <c r="A683" s="300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</row>
    <row r="684" spans="1:25" ht="60.6" customHeight="1">
      <c r="A684" s="300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</row>
    <row r="685" spans="1:25" ht="60.6" customHeight="1">
      <c r="A685" s="300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</row>
    <row r="686" spans="1:25" ht="60.6" customHeight="1">
      <c r="A686" s="300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</row>
    <row r="687" spans="1:25" ht="60.6" customHeight="1">
      <c r="A687" s="300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</row>
    <row r="688" spans="1:25" ht="60.6" customHeight="1">
      <c r="A688" s="300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</row>
    <row r="689" spans="1:25" ht="60.6" customHeight="1">
      <c r="A689" s="300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</row>
    <row r="690" spans="1:25" ht="60.6" customHeight="1">
      <c r="A690" s="300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</row>
    <row r="691" spans="1:25" ht="60.6" customHeight="1">
      <c r="A691" s="300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</row>
    <row r="692" spans="1:25" ht="60.6" customHeight="1">
      <c r="A692" s="300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</row>
    <row r="693" spans="1:25" ht="60.6" customHeight="1">
      <c r="A693" s="300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</row>
    <row r="694" spans="1:25" ht="60.6" customHeight="1">
      <c r="A694" s="300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</row>
    <row r="695" spans="1:25" ht="60.6" customHeight="1">
      <c r="A695" s="300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</row>
    <row r="696" spans="1:25" ht="60.6" customHeight="1">
      <c r="A696" s="300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</row>
    <row r="697" spans="1:25" ht="60.6" customHeight="1">
      <c r="A697" s="300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</row>
    <row r="698" spans="1:25" ht="60.6" customHeight="1">
      <c r="A698" s="300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</row>
    <row r="699" spans="1:25" ht="60.6" customHeight="1">
      <c r="A699" s="300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</row>
    <row r="700" spans="1:25" ht="60.6" customHeight="1">
      <c r="A700" s="300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</row>
    <row r="701" spans="1:25" ht="60.6" customHeight="1">
      <c r="A701" s="300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</row>
    <row r="702" spans="1:25" ht="60.6" customHeight="1">
      <c r="A702" s="300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</row>
    <row r="703" spans="1:25" ht="60.6" customHeight="1">
      <c r="A703" s="300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</row>
    <row r="704" spans="1:25" ht="60.6" customHeight="1">
      <c r="A704" s="300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</row>
    <row r="705" spans="1:25" ht="60.6" customHeight="1">
      <c r="A705" s="300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</row>
    <row r="706" spans="1:25" ht="60.6" customHeight="1">
      <c r="A706" s="300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</row>
    <row r="707" spans="1:25" ht="60.6" customHeight="1">
      <c r="A707" s="300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</row>
    <row r="708" spans="1:25" ht="60.6" customHeight="1">
      <c r="A708" s="300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</row>
    <row r="709" spans="1:25" ht="60.6" customHeight="1">
      <c r="A709" s="300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</row>
    <row r="710" spans="1:25" ht="60.6" customHeight="1">
      <c r="A710" s="300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</row>
    <row r="711" spans="1:25" ht="60.6" customHeight="1">
      <c r="A711" s="300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</row>
    <row r="712" spans="1:25" ht="60.6" customHeight="1">
      <c r="A712" s="300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</row>
    <row r="713" spans="1:25" ht="60.6" customHeight="1">
      <c r="A713" s="300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</row>
    <row r="714" spans="1:25" ht="60.6" customHeight="1">
      <c r="A714" s="300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</row>
    <row r="715" spans="1:25" ht="60.6" customHeight="1">
      <c r="A715" s="300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</row>
    <row r="716" spans="1:25" ht="60.6" customHeight="1">
      <c r="A716" s="300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</row>
    <row r="717" spans="1:25" ht="60.6" customHeight="1">
      <c r="A717" s="300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</row>
    <row r="718" spans="1:25" ht="60.6" customHeight="1">
      <c r="A718" s="300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</row>
    <row r="719" spans="1:25" ht="60.6" customHeight="1">
      <c r="A719" s="300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</row>
    <row r="720" spans="1:25" ht="60.6" customHeight="1">
      <c r="A720" s="300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</row>
    <row r="721" spans="1:25" ht="60.6" customHeight="1">
      <c r="A721" s="300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</row>
    <row r="722" spans="1:25" ht="60.6" customHeight="1">
      <c r="A722" s="300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</row>
    <row r="723" spans="1:25" ht="60.6" customHeight="1">
      <c r="A723" s="300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</row>
    <row r="724" spans="1:25" ht="60.6" customHeight="1">
      <c r="A724" s="300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</row>
    <row r="725" spans="1:25" ht="60.6" customHeight="1">
      <c r="A725" s="300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</row>
    <row r="726" spans="1:25" ht="60.6" customHeight="1">
      <c r="A726" s="300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</row>
    <row r="727" spans="1:25" ht="60.6" customHeight="1">
      <c r="A727" s="300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</row>
    <row r="728" spans="1:25" ht="60.6" customHeight="1">
      <c r="A728" s="300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</row>
    <row r="729" spans="1:25" ht="60.6" customHeight="1">
      <c r="A729" s="300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</row>
    <row r="730" spans="1:25" ht="60.6" customHeight="1">
      <c r="A730" s="300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</row>
    <row r="731" spans="1:25" ht="60.6" customHeight="1">
      <c r="A731" s="300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</row>
    <row r="732" spans="1:25" ht="60.6" customHeight="1">
      <c r="A732" s="300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</row>
    <row r="733" spans="1:25" ht="60.6" customHeight="1">
      <c r="A733" s="300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</row>
    <row r="734" spans="1:25" ht="60.6" customHeight="1">
      <c r="A734" s="300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</row>
    <row r="735" spans="1:25" ht="60.6" customHeight="1">
      <c r="A735" s="300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</row>
    <row r="736" spans="1:25" ht="60.6" customHeight="1">
      <c r="A736" s="300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</row>
    <row r="737" spans="1:25" ht="60.6" customHeight="1">
      <c r="A737" s="300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</row>
    <row r="738" spans="1:25" ht="60.6" customHeight="1">
      <c r="A738" s="300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</row>
    <row r="739" spans="1:25" ht="60.6" customHeight="1">
      <c r="A739" s="300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</row>
    <row r="740" spans="1:25" ht="60.6" customHeight="1">
      <c r="A740" s="300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</row>
    <row r="741" spans="1:25" ht="60.6" customHeight="1">
      <c r="A741" s="300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</row>
    <row r="742" spans="1:25" ht="60.6" customHeight="1">
      <c r="A742" s="300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</row>
    <row r="743" spans="1:25" ht="60.6" customHeight="1">
      <c r="A743" s="300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</row>
    <row r="744" spans="1:25" ht="60.6" customHeight="1">
      <c r="A744" s="300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</row>
    <row r="745" spans="1:25" ht="60.6" customHeight="1">
      <c r="A745" s="300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</row>
    <row r="746" spans="1:25" ht="60.6" customHeight="1">
      <c r="A746" s="300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</row>
    <row r="747" spans="1:25" ht="60.6" customHeight="1">
      <c r="A747" s="300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</row>
    <row r="748" spans="1:25" ht="60.6" customHeight="1">
      <c r="A748" s="300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</row>
    <row r="749" spans="1:25" ht="60.6" customHeight="1">
      <c r="A749" s="300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</row>
    <row r="750" spans="1:25" ht="60.6" customHeight="1">
      <c r="A750" s="300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</row>
    <row r="751" spans="1:25" ht="60.6" customHeight="1">
      <c r="A751" s="300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</row>
    <row r="752" spans="1:25" ht="60.6" customHeight="1">
      <c r="A752" s="300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</row>
    <row r="753" spans="1:25" ht="60.6" customHeight="1">
      <c r="A753" s="300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</row>
    <row r="754" spans="1:25" ht="60.6" customHeight="1">
      <c r="A754" s="300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</row>
    <row r="755" spans="1:25" ht="60.6" customHeight="1">
      <c r="A755" s="300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</row>
    <row r="756" spans="1:25" ht="60.6" customHeight="1">
      <c r="A756" s="300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</row>
    <row r="757" spans="1:25" ht="60.6" customHeight="1">
      <c r="A757" s="300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</row>
    <row r="758" spans="1:25" ht="60.6" customHeight="1">
      <c r="A758" s="300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</row>
    <row r="759" spans="1:25" ht="60.6" customHeight="1">
      <c r="A759" s="300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</row>
    <row r="760" spans="1:25" ht="60.6" customHeight="1">
      <c r="A760" s="300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</row>
    <row r="761" spans="1:25" ht="60.6" customHeight="1">
      <c r="A761" s="300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</row>
    <row r="762" spans="1:25" ht="60.6" customHeight="1">
      <c r="A762" s="300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</row>
    <row r="763" spans="1:25" ht="60.6" customHeight="1">
      <c r="A763" s="300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</row>
    <row r="764" spans="1:25" ht="60.6" customHeight="1">
      <c r="A764" s="300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</row>
    <row r="765" spans="1:25" ht="60.6" customHeight="1">
      <c r="A765" s="300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</row>
    <row r="766" spans="1:25" ht="60.6" customHeight="1">
      <c r="A766" s="300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</row>
    <row r="767" spans="1:25" ht="60.6" customHeight="1">
      <c r="A767" s="300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</row>
    <row r="768" spans="1:25" ht="60.6" customHeight="1">
      <c r="A768" s="300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</row>
    <row r="769" spans="1:25" ht="60.6" customHeight="1">
      <c r="A769" s="300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</row>
    <row r="770" spans="1:25" ht="60.6" customHeight="1">
      <c r="A770" s="300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</row>
    <row r="771" spans="1:25" ht="60.6" customHeight="1">
      <c r="A771" s="300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</row>
    <row r="772" spans="1:25" ht="60.6" customHeight="1">
      <c r="A772" s="300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</row>
    <row r="773" spans="1:25" ht="60.6" customHeight="1">
      <c r="A773" s="300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</row>
    <row r="774" spans="1:25" ht="60.6" customHeight="1">
      <c r="A774" s="300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</row>
    <row r="775" spans="1:25" ht="60.6" customHeight="1">
      <c r="A775" s="300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</row>
    <row r="776" spans="1:25" ht="60.6" customHeight="1">
      <c r="A776" s="300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</row>
    <row r="777" spans="1:25" ht="60.6" customHeight="1">
      <c r="A777" s="300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</row>
    <row r="778" spans="1:25" ht="60.6" customHeight="1">
      <c r="A778" s="300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</row>
    <row r="779" spans="1:25" ht="60.6" customHeight="1">
      <c r="A779" s="300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</row>
    <row r="780" spans="1:25" ht="60.6" customHeight="1">
      <c r="A780" s="300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</row>
    <row r="781" spans="1:25" ht="60.6" customHeight="1">
      <c r="A781" s="300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</row>
    <row r="782" spans="1:25" ht="60.6" customHeight="1">
      <c r="A782" s="300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</row>
    <row r="783" spans="1:25" ht="60.6" customHeight="1">
      <c r="A783" s="300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</row>
    <row r="784" spans="1:25" ht="60.6" customHeight="1">
      <c r="A784" s="300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</row>
    <row r="785" spans="1:25" ht="60.6" customHeight="1">
      <c r="A785" s="300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</row>
    <row r="786" spans="1:25" ht="60.6" customHeight="1">
      <c r="A786" s="300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</row>
    <row r="787" spans="1:25" ht="60.6" customHeight="1">
      <c r="A787" s="300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</row>
    <row r="788" spans="1:25" ht="60.6" customHeight="1">
      <c r="A788" s="300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</row>
    <row r="789" spans="1:25" ht="60.6" customHeight="1">
      <c r="A789" s="300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</row>
    <row r="790" spans="1:25" ht="60.6" customHeight="1">
      <c r="A790" s="300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</row>
    <row r="791" spans="1:25" ht="60.6" customHeight="1">
      <c r="A791" s="300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</row>
    <row r="792" spans="1:25" ht="60.6" customHeight="1">
      <c r="A792" s="300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</row>
    <row r="793" spans="1:25" ht="60.6" customHeight="1">
      <c r="A793" s="300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</row>
    <row r="794" spans="1:25" ht="60.6" customHeight="1">
      <c r="A794" s="300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</row>
    <row r="795" spans="1:25" ht="60.6" customHeight="1">
      <c r="A795" s="300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</row>
    <row r="796" spans="1:25" ht="60.6" customHeight="1">
      <c r="A796" s="300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</row>
    <row r="797" spans="1:25" ht="60.6" customHeight="1">
      <c r="A797" s="300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</row>
    <row r="798" spans="1:25" ht="60.6" customHeight="1">
      <c r="A798" s="300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</row>
    <row r="799" spans="1:25" ht="60.6" customHeight="1">
      <c r="A799" s="300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</row>
    <row r="800" spans="1:25" ht="60.6" customHeight="1">
      <c r="A800" s="300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</row>
    <row r="801" spans="1:25" ht="60.6" customHeight="1">
      <c r="A801" s="300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</row>
    <row r="802" spans="1:25" ht="60.6" customHeight="1">
      <c r="A802" s="300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</row>
    <row r="803" spans="1:25" ht="60.6" customHeight="1">
      <c r="A803" s="300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</row>
    <row r="804" spans="1:25" ht="60.6" customHeight="1">
      <c r="A804" s="300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</row>
    <row r="805" spans="1:25" ht="60.6" customHeight="1">
      <c r="A805" s="300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</row>
    <row r="806" spans="1:25" ht="60.6" customHeight="1">
      <c r="A806" s="300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</row>
    <row r="807" spans="1:25" ht="60.6" customHeight="1">
      <c r="A807" s="300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</row>
    <row r="808" spans="1:25" ht="60.6" customHeight="1">
      <c r="A808" s="300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</row>
    <row r="809" spans="1:25" ht="60.6" customHeight="1">
      <c r="A809" s="300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</row>
    <row r="810" spans="1:25" ht="60.6" customHeight="1">
      <c r="A810" s="300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</row>
    <row r="811" spans="1:25" ht="60.6" customHeight="1">
      <c r="A811" s="300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</row>
    <row r="812" spans="1:25" ht="60.6" customHeight="1">
      <c r="A812" s="300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</row>
    <row r="813" spans="1:25" ht="60.6" customHeight="1">
      <c r="A813" s="300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</row>
    <row r="814" spans="1:25" ht="60.6" customHeight="1">
      <c r="A814" s="300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</row>
    <row r="815" spans="1:25" ht="60.6" customHeight="1">
      <c r="A815" s="300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</row>
    <row r="816" spans="1:25" ht="60.6" customHeight="1">
      <c r="A816" s="300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</row>
    <row r="817" spans="1:25" ht="60.6" customHeight="1">
      <c r="A817" s="300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</row>
    <row r="818" spans="1:25" ht="60.6" customHeight="1">
      <c r="A818" s="300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</row>
    <row r="819" spans="1:25" ht="60.6" customHeight="1">
      <c r="A819" s="300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</row>
    <row r="820" spans="1:25" ht="60.6" customHeight="1">
      <c r="A820" s="300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</row>
    <row r="821" spans="1:25" ht="60.6" customHeight="1">
      <c r="A821" s="300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</row>
    <row r="822" spans="1:25" ht="60.6" customHeight="1">
      <c r="A822" s="300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</row>
    <row r="823" spans="1:25" ht="60.6" customHeight="1">
      <c r="A823" s="300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</row>
    <row r="824" spans="1:25" ht="60.6" customHeight="1">
      <c r="A824" s="300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</row>
    <row r="825" spans="1:25" ht="60.6" customHeight="1">
      <c r="A825" s="300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</row>
    <row r="826" spans="1:25" ht="60.6" customHeight="1">
      <c r="A826" s="300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</row>
    <row r="827" spans="1:25" ht="60.6" customHeight="1">
      <c r="A827" s="300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</row>
    <row r="828" spans="1:25" ht="60.6" customHeight="1">
      <c r="A828" s="300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</row>
    <row r="829" spans="1:25" ht="60.6" customHeight="1">
      <c r="A829" s="300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</row>
    <row r="830" spans="1:25" ht="60.6" customHeight="1">
      <c r="A830" s="300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</row>
    <row r="831" spans="1:25" ht="60.6" customHeight="1">
      <c r="A831" s="300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</row>
    <row r="832" spans="1:25" ht="60.6" customHeight="1">
      <c r="A832" s="300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</row>
    <row r="833" spans="1:25" ht="60.6" customHeight="1">
      <c r="A833" s="300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</row>
    <row r="834" spans="1:25" ht="60.6" customHeight="1">
      <c r="A834" s="300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</row>
    <row r="835" spans="1:25" ht="60.6" customHeight="1">
      <c r="A835" s="300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</row>
    <row r="836" spans="1:25" ht="60.6" customHeight="1">
      <c r="A836" s="300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</row>
    <row r="837" spans="1:25" ht="60.6" customHeight="1">
      <c r="A837" s="300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</row>
    <row r="838" spans="1:25" ht="60.6" customHeight="1">
      <c r="A838" s="300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</row>
    <row r="839" spans="1:25" ht="60.6" customHeight="1">
      <c r="A839" s="300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</row>
    <row r="840" spans="1:25" ht="60.6" customHeight="1">
      <c r="A840" s="300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</row>
    <row r="841" spans="1:25" ht="60.6" customHeight="1">
      <c r="A841" s="300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</row>
    <row r="842" spans="1:25" ht="60.6" customHeight="1">
      <c r="A842" s="300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</row>
    <row r="843" spans="1:25" ht="60.6" customHeight="1">
      <c r="A843" s="300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</row>
    <row r="844" spans="1:25" ht="60.6" customHeight="1">
      <c r="A844" s="300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</row>
    <row r="845" spans="1:25" ht="60.6" customHeight="1">
      <c r="A845" s="300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</row>
    <row r="846" spans="1:25" ht="60.6" customHeight="1">
      <c r="A846" s="300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</row>
    <row r="847" spans="1:25" ht="60.6" customHeight="1">
      <c r="A847" s="300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</row>
    <row r="848" spans="1:25" ht="60.6" customHeight="1">
      <c r="A848" s="300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</row>
    <row r="849" spans="1:25" ht="60.6" customHeight="1">
      <c r="A849" s="300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</row>
    <row r="850" spans="1:25" ht="60.6" customHeight="1">
      <c r="A850" s="300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</row>
    <row r="851" spans="1:25" ht="60.6" customHeight="1">
      <c r="A851" s="300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</row>
    <row r="852" spans="1:25" ht="60.6" customHeight="1">
      <c r="A852" s="300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</row>
    <row r="853" spans="1:25" ht="60.6" customHeight="1">
      <c r="A853" s="300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</row>
    <row r="854" spans="1:25" ht="60.6" customHeight="1">
      <c r="A854" s="300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</row>
    <row r="855" spans="1:25" ht="60.6" customHeight="1">
      <c r="A855" s="300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</row>
    <row r="856" spans="1:25" ht="60.6" customHeight="1">
      <c r="A856" s="300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</row>
    <row r="857" spans="1:25" ht="60.6" customHeight="1">
      <c r="A857" s="300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</row>
    <row r="858" spans="1:25" ht="60.6" customHeight="1">
      <c r="A858" s="300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</row>
    <row r="859" spans="1:25" ht="60.6" customHeight="1">
      <c r="A859" s="300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</row>
    <row r="860" spans="1:25" ht="60.6" customHeight="1">
      <c r="A860" s="300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</row>
    <row r="861" spans="1:25" ht="60.6" customHeight="1">
      <c r="A861" s="300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</row>
    <row r="862" spans="1:25" ht="60.6" customHeight="1">
      <c r="A862" s="300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</row>
    <row r="863" spans="1:25" ht="60.6" customHeight="1">
      <c r="A863" s="300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</row>
    <row r="864" spans="1:25" ht="60.6" customHeight="1">
      <c r="A864" s="300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</row>
    <row r="865" spans="1:25" ht="60.6" customHeight="1">
      <c r="A865" s="300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</row>
    <row r="866" spans="1:25" ht="60.6" customHeight="1">
      <c r="A866" s="300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</row>
    <row r="867" spans="1:25" ht="60.6" customHeight="1">
      <c r="A867" s="300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</row>
    <row r="868" spans="1:25" ht="60.6" customHeight="1">
      <c r="A868" s="300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</row>
    <row r="869" spans="1:25" ht="60.6" customHeight="1">
      <c r="A869" s="300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</row>
    <row r="870" spans="1:25" ht="60.6" customHeight="1">
      <c r="A870" s="300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</row>
    <row r="871" spans="1:25" ht="60.6" customHeight="1">
      <c r="A871" s="300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</row>
    <row r="872" spans="1:25" ht="60.6" customHeight="1">
      <c r="A872" s="300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</row>
    <row r="873" spans="1:25" ht="60.6" customHeight="1">
      <c r="A873" s="300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</row>
    <row r="874" spans="1:25" ht="60.6" customHeight="1">
      <c r="A874" s="300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</row>
    <row r="875" spans="1:25" ht="60.6" customHeight="1">
      <c r="A875" s="300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</row>
    <row r="876" spans="1:25" ht="60.6" customHeight="1">
      <c r="A876" s="300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</row>
    <row r="877" spans="1:25" ht="60.6" customHeight="1">
      <c r="A877" s="300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</row>
    <row r="878" spans="1:25" ht="60.6" customHeight="1">
      <c r="A878" s="300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</row>
    <row r="879" spans="1:25" ht="60.6" customHeight="1">
      <c r="A879" s="300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</row>
    <row r="880" spans="1:25" ht="60.6" customHeight="1">
      <c r="A880" s="300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</row>
    <row r="881" spans="1:25" ht="60.6" customHeight="1">
      <c r="A881" s="300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</row>
    <row r="882" spans="1:25" ht="60.6" customHeight="1">
      <c r="A882" s="300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</row>
    <row r="883" spans="1:25" ht="60.6" customHeight="1">
      <c r="A883" s="300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</row>
    <row r="884" spans="1:25" ht="60.6" customHeight="1">
      <c r="A884" s="300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</row>
    <row r="885" spans="1:25" ht="60.6" customHeight="1">
      <c r="A885" s="300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</row>
    <row r="886" spans="1:25" ht="60.6" customHeight="1">
      <c r="A886" s="300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</row>
    <row r="887" spans="1:25" ht="60.6" customHeight="1">
      <c r="A887" s="300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</row>
    <row r="888" spans="1:25" ht="60.6" customHeight="1">
      <c r="A888" s="300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</row>
    <row r="889" spans="1:25" ht="60.6" customHeight="1">
      <c r="A889" s="300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</row>
    <row r="890" spans="1:25" ht="60.6" customHeight="1">
      <c r="A890" s="300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</row>
    <row r="891" spans="1:25" ht="60.6" customHeight="1">
      <c r="A891" s="300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</row>
    <row r="892" spans="1:25" ht="60.6" customHeight="1">
      <c r="A892" s="300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</row>
    <row r="893" spans="1:25" ht="60.6" customHeight="1">
      <c r="A893" s="300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</row>
    <row r="894" spans="1:25" ht="60.6" customHeight="1">
      <c r="A894" s="300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</row>
    <row r="895" spans="1:25" ht="60.6" customHeight="1">
      <c r="A895" s="300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</row>
    <row r="896" spans="1:25" ht="60.6" customHeight="1">
      <c r="A896" s="300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</row>
    <row r="897" spans="1:25" ht="60.6" customHeight="1">
      <c r="A897" s="300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</row>
    <row r="898" spans="1:25" ht="60.6" customHeight="1">
      <c r="A898" s="300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</row>
    <row r="899" spans="1:25" ht="60.6" customHeight="1">
      <c r="A899" s="300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</row>
    <row r="900" spans="1:25" ht="60.6" customHeight="1">
      <c r="A900" s="300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</row>
    <row r="901" spans="1:25" ht="60.6" customHeight="1">
      <c r="A901" s="300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</row>
    <row r="902" spans="1:25" ht="60.6" customHeight="1">
      <c r="A902" s="300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</row>
    <row r="903" spans="1:25" ht="60.6" customHeight="1">
      <c r="A903" s="300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</row>
    <row r="904" spans="1:25" ht="60.6" customHeight="1">
      <c r="A904" s="300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</row>
    <row r="905" spans="1:25" ht="60.6" customHeight="1">
      <c r="A905" s="300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</row>
    <row r="906" spans="1:25" ht="60.6" customHeight="1">
      <c r="A906" s="300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</row>
    <row r="907" spans="1:25" ht="60.6" customHeight="1">
      <c r="A907" s="300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</row>
    <row r="908" spans="1:25" ht="60.6" customHeight="1">
      <c r="A908" s="300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</row>
    <row r="909" spans="1:25" ht="60.6" customHeight="1">
      <c r="A909" s="300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</row>
    <row r="910" spans="1:25" ht="60.6" customHeight="1">
      <c r="A910" s="300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</row>
    <row r="911" spans="1:25" ht="60.6" customHeight="1">
      <c r="A911" s="300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</row>
    <row r="912" spans="1:25" ht="60.6" customHeight="1">
      <c r="A912" s="300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</row>
    <row r="913" spans="1:25" ht="60.6" customHeight="1">
      <c r="A913" s="300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</row>
    <row r="914" spans="1:25" ht="60.6" customHeight="1">
      <c r="A914" s="300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</row>
    <row r="915" spans="1:25" ht="60.6" customHeight="1">
      <c r="A915" s="300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</row>
    <row r="916" spans="1:25" ht="60.6" customHeight="1">
      <c r="A916" s="300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</row>
    <row r="917" spans="1:25" ht="60.6" customHeight="1">
      <c r="A917" s="300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</row>
    <row r="918" spans="1:25" ht="60.6" customHeight="1">
      <c r="A918" s="300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</row>
    <row r="919" spans="1:25" ht="60.6" customHeight="1">
      <c r="A919" s="300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</row>
    <row r="920" spans="1:25" ht="60.6" customHeight="1">
      <c r="A920" s="300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</row>
    <row r="921" spans="1:25" ht="60.6" customHeight="1">
      <c r="A921" s="300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</row>
    <row r="922" spans="1:25" ht="60.6" customHeight="1">
      <c r="A922" s="300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</row>
    <row r="923" spans="1:25" ht="60.6" customHeight="1">
      <c r="A923" s="300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</row>
    <row r="924" spans="1:25" ht="60.6" customHeight="1">
      <c r="A924" s="300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</row>
    <row r="925" spans="1:25" ht="60.6" customHeight="1">
      <c r="A925" s="300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</row>
    <row r="926" spans="1:25" ht="60.6" customHeight="1">
      <c r="A926" s="300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</row>
    <row r="927" spans="1:25" ht="60.6" customHeight="1">
      <c r="A927" s="300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</row>
    <row r="928" spans="1:25" ht="60.6" customHeight="1">
      <c r="A928" s="300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</row>
    <row r="929" spans="1:25" ht="60.6" customHeight="1">
      <c r="A929" s="300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</row>
    <row r="930" spans="1:25" ht="60.6" customHeight="1">
      <c r="A930" s="300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</row>
    <row r="931" spans="1:25" ht="60.6" customHeight="1">
      <c r="A931" s="300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</row>
    <row r="932" spans="1:25" ht="60.6" customHeight="1">
      <c r="A932" s="300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</row>
    <row r="933" spans="1:25" ht="60.6" customHeight="1">
      <c r="A933" s="300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</row>
    <row r="934" spans="1:25" ht="60.6" customHeight="1">
      <c r="A934" s="300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</row>
    <row r="935" spans="1:25" ht="60.6" customHeight="1">
      <c r="A935" s="300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</row>
    <row r="936" spans="1:25" ht="60.6" customHeight="1">
      <c r="A936" s="300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</row>
    <row r="937" spans="1:25" ht="60.6" customHeight="1">
      <c r="A937" s="300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</row>
    <row r="938" spans="1:25" ht="60.6" customHeight="1">
      <c r="A938" s="300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</row>
    <row r="939" spans="1:25" ht="60.6" customHeight="1">
      <c r="A939" s="300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</row>
    <row r="940" spans="1:25" ht="60.6" customHeight="1">
      <c r="A940" s="300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</row>
    <row r="941" spans="1:25" ht="60.6" customHeight="1">
      <c r="A941" s="300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</row>
    <row r="942" spans="1:25" ht="60.6" customHeight="1">
      <c r="A942" s="300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</row>
    <row r="943" spans="1:25" ht="60.6" customHeight="1">
      <c r="A943" s="300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</row>
    <row r="944" spans="1:25" ht="60.6" customHeight="1">
      <c r="A944" s="300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</row>
    <row r="945" spans="1:25" ht="60.6" customHeight="1">
      <c r="A945" s="300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</row>
    <row r="946" spans="1:25" ht="60.6" customHeight="1">
      <c r="A946" s="300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</row>
    <row r="947" spans="1:25" ht="60.6" customHeight="1">
      <c r="A947" s="300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</row>
    <row r="948" spans="1:25" ht="60.6" customHeight="1">
      <c r="A948" s="300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</row>
    <row r="949" spans="1:25" ht="60.6" customHeight="1">
      <c r="A949" s="300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</row>
    <row r="950" spans="1:25" ht="60.6" customHeight="1">
      <c r="A950" s="300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</row>
    <row r="951" spans="1:25" ht="60.6" customHeight="1">
      <c r="A951" s="300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</row>
    <row r="952" spans="1:25" ht="60.6" customHeight="1">
      <c r="A952" s="300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</row>
    <row r="953" spans="1:25" ht="60.6" customHeight="1">
      <c r="A953" s="300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</row>
    <row r="954" spans="1:25" ht="60.6" customHeight="1">
      <c r="A954" s="300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</row>
    <row r="955" spans="1:25" ht="60.6" customHeight="1">
      <c r="A955" s="300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</row>
    <row r="956" spans="1:25" ht="60.6" customHeight="1">
      <c r="A956" s="300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</row>
    <row r="957" spans="1:25" ht="60.6" customHeight="1">
      <c r="A957" s="300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</row>
    <row r="958" spans="1:25" ht="60.6" customHeight="1">
      <c r="A958" s="300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</row>
    <row r="959" spans="1:25" ht="60.6" customHeight="1">
      <c r="A959" s="300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</row>
    <row r="960" spans="1:25" ht="60.6" customHeight="1">
      <c r="A960" s="300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</row>
    <row r="961" spans="1:25" ht="60.6" customHeight="1">
      <c r="A961" s="300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</row>
    <row r="962" spans="1:25" ht="60.6" customHeight="1">
      <c r="A962" s="300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</row>
    <row r="963" spans="1:25" ht="60.6" customHeight="1">
      <c r="A963" s="300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</row>
    <row r="964" spans="1:25" ht="60.6" customHeight="1">
      <c r="A964" s="300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</row>
    <row r="965" spans="1:25" ht="60.6" customHeight="1">
      <c r="A965" s="300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</row>
    <row r="966" spans="1:25" ht="60.6" customHeight="1">
      <c r="A966" s="300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</row>
    <row r="967" spans="1:25" ht="60.6" customHeight="1">
      <c r="A967" s="300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</row>
    <row r="968" spans="1:25" ht="60.6" customHeight="1">
      <c r="A968" s="300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</row>
    <row r="969" spans="1:25" ht="60.6" customHeight="1">
      <c r="A969" s="300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</row>
    <row r="970" spans="1:25" ht="60.6" customHeight="1">
      <c r="A970" s="300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</row>
    <row r="971" spans="1:25" ht="60.6" customHeight="1">
      <c r="A971" s="300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</row>
    <row r="972" spans="1:25" ht="60.6" customHeight="1">
      <c r="A972" s="300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</row>
    <row r="973" spans="1:25" ht="60.6" customHeight="1">
      <c r="A973" s="300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</row>
    <row r="974" spans="1:25" ht="60.6" customHeight="1">
      <c r="A974" s="300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</row>
    <row r="975" spans="1:25" ht="60.6" customHeight="1">
      <c r="A975" s="300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</row>
    <row r="976" spans="1:25" ht="60.6" customHeight="1">
      <c r="A976" s="300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</row>
    <row r="977" spans="1:25" ht="60.6" customHeight="1">
      <c r="A977" s="300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</row>
    <row r="978" spans="1:25" ht="60.6" customHeight="1">
      <c r="A978" s="300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</row>
    <row r="979" spans="1:25" ht="60.6" customHeight="1">
      <c r="A979" s="300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</row>
    <row r="980" spans="1:25" ht="60.6" customHeight="1">
      <c r="A980" s="300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</row>
    <row r="981" spans="1:25" ht="60.6" customHeight="1">
      <c r="A981" s="300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</row>
    <row r="982" spans="1:25" ht="60.6" customHeight="1">
      <c r="A982" s="300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</row>
    <row r="983" spans="1:25" ht="60.6" customHeight="1">
      <c r="A983" s="300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</row>
    <row r="984" spans="1:25" ht="60.6" customHeight="1">
      <c r="A984" s="300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</row>
    <row r="985" spans="1:25" ht="60.6" customHeight="1">
      <c r="A985" s="300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</row>
    <row r="986" spans="1:25" ht="60.6" customHeight="1">
      <c r="A986" s="300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</row>
    <row r="987" spans="1:25" ht="60.6" customHeight="1">
      <c r="A987" s="300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</row>
    <row r="988" spans="1:25" ht="60.6" customHeight="1">
      <c r="A988" s="300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</row>
    <row r="989" spans="1:25" ht="60.6" customHeight="1">
      <c r="A989" s="300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</row>
    <row r="990" spans="1:25" ht="60.6" customHeight="1">
      <c r="A990" s="300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</row>
    <row r="991" spans="1:25" ht="60.6" customHeight="1">
      <c r="A991" s="300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</row>
    <row r="992" spans="1:25" ht="60.6" customHeight="1">
      <c r="A992" s="300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</row>
    <row r="993" spans="1:25" ht="60.6" customHeight="1">
      <c r="A993" s="300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</row>
    <row r="994" spans="1:25" ht="60.6" customHeight="1">
      <c r="A994" s="300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</row>
    <row r="995" spans="1:25" ht="60.6" customHeight="1">
      <c r="A995" s="300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</row>
    <row r="996" spans="1:25" ht="60.6" customHeight="1">
      <c r="A996" s="300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  <c r="V996" s="297"/>
      <c r="W996" s="297"/>
      <c r="X996" s="297"/>
      <c r="Y996" s="297"/>
    </row>
    <row r="997" spans="1:25" ht="60.6" customHeight="1">
      <c r="A997" s="300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  <c r="V997" s="297"/>
      <c r="W997" s="297"/>
      <c r="X997" s="297"/>
      <c r="Y997" s="297"/>
    </row>
    <row r="998" spans="1:25" ht="60.6" customHeight="1">
      <c r="A998" s="300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  <c r="V998" s="297"/>
      <c r="W998" s="297"/>
      <c r="X998" s="297"/>
      <c r="Y998" s="297"/>
    </row>
    <row r="999" spans="1:25" ht="60.6" customHeight="1">
      <c r="A999" s="300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  <c r="V999" s="297"/>
      <c r="W999" s="297"/>
      <c r="X999" s="297"/>
      <c r="Y999" s="297"/>
    </row>
    <row r="1000" spans="1:25" ht="60.6" customHeight="1">
      <c r="A1000" s="300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  <c r="V1000" s="297"/>
      <c r="W1000" s="297"/>
      <c r="X1000" s="297"/>
      <c r="Y1000" s="297"/>
    </row>
  </sheetData>
  <pageMargins left="0.7" right="0.7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D1000"/>
  <sheetViews>
    <sheetView zoomScale="108" zoomScaleNormal="108" workbookViewId="0">
      <selection activeCell="B2" sqref="B2:C2"/>
    </sheetView>
  </sheetViews>
  <sheetFormatPr defaultColWidth="14.44140625" defaultRowHeight="15" customHeight="1"/>
  <cols>
    <col min="1" max="1" width="25.33203125" customWidth="1"/>
    <col min="2" max="2" width="8.77734375" customWidth="1"/>
    <col min="3" max="3" width="20.33203125" customWidth="1"/>
    <col min="4" max="4" width="110.6640625" customWidth="1"/>
  </cols>
  <sheetData>
    <row r="1" spans="1:4" ht="34.049999999999997" customHeight="1">
      <c r="A1" s="337" t="s">
        <v>24</v>
      </c>
      <c r="B1" s="338"/>
      <c r="C1" s="338"/>
      <c r="D1" s="339"/>
    </row>
    <row r="2" spans="1:4" ht="17.25" customHeight="1">
      <c r="A2" s="340" t="s">
        <v>25</v>
      </c>
      <c r="B2" s="341" t="s">
        <v>26</v>
      </c>
      <c r="C2" s="342"/>
      <c r="D2" s="1" t="s">
        <v>27</v>
      </c>
    </row>
    <row r="3" spans="1:4" ht="18" customHeight="1">
      <c r="A3" s="332"/>
      <c r="B3" s="2">
        <v>5</v>
      </c>
      <c r="C3" s="3" t="s">
        <v>28</v>
      </c>
      <c r="D3" s="4" t="s">
        <v>29</v>
      </c>
    </row>
    <row r="4" spans="1:4" ht="18" customHeight="1">
      <c r="A4" s="332"/>
      <c r="B4" s="2">
        <v>4</v>
      </c>
      <c r="C4" s="3" t="s">
        <v>30</v>
      </c>
      <c r="D4" s="4" t="s">
        <v>31</v>
      </c>
    </row>
    <row r="5" spans="1:4" ht="18" customHeight="1">
      <c r="A5" s="332"/>
      <c r="B5" s="2">
        <v>3</v>
      </c>
      <c r="C5" s="3" t="s">
        <v>32</v>
      </c>
      <c r="D5" s="4" t="s">
        <v>33</v>
      </c>
    </row>
    <row r="6" spans="1:4" ht="18" customHeight="1">
      <c r="A6" s="332"/>
      <c r="B6" s="2">
        <v>2</v>
      </c>
      <c r="C6" s="3" t="s">
        <v>34</v>
      </c>
      <c r="D6" s="4" t="s">
        <v>35</v>
      </c>
    </row>
    <row r="7" spans="1:4" ht="17.25" customHeight="1">
      <c r="A7" s="333"/>
      <c r="B7" s="2">
        <v>1</v>
      </c>
      <c r="C7" s="3" t="s">
        <v>36</v>
      </c>
      <c r="D7" s="4" t="s">
        <v>37</v>
      </c>
    </row>
    <row r="8" spans="1:4" ht="17.25" customHeight="1">
      <c r="A8" s="343" t="s">
        <v>38</v>
      </c>
      <c r="B8" s="5">
        <v>5</v>
      </c>
      <c r="C8" s="6" t="s">
        <v>28</v>
      </c>
      <c r="D8" s="7" t="s">
        <v>39</v>
      </c>
    </row>
    <row r="9" spans="1:4" ht="18" customHeight="1">
      <c r="A9" s="332"/>
      <c r="B9" s="5">
        <v>4</v>
      </c>
      <c r="C9" s="6" t="s">
        <v>30</v>
      </c>
      <c r="D9" s="7" t="s">
        <v>40</v>
      </c>
    </row>
    <row r="10" spans="1:4" ht="18" customHeight="1">
      <c r="A10" s="332"/>
      <c r="B10" s="5">
        <v>3</v>
      </c>
      <c r="C10" s="6" t="s">
        <v>32</v>
      </c>
      <c r="D10" s="7" t="s">
        <v>41</v>
      </c>
    </row>
    <row r="11" spans="1:4" ht="18" customHeight="1">
      <c r="A11" s="332"/>
      <c r="B11" s="5">
        <v>2</v>
      </c>
      <c r="C11" s="6" t="s">
        <v>34</v>
      </c>
      <c r="D11" s="7" t="s">
        <v>42</v>
      </c>
    </row>
    <row r="12" spans="1:4" ht="18" customHeight="1">
      <c r="A12" s="333"/>
      <c r="B12" s="5">
        <v>1</v>
      </c>
      <c r="C12" s="6" t="s">
        <v>36</v>
      </c>
      <c r="D12" s="7" t="s">
        <v>43</v>
      </c>
    </row>
    <row r="13" spans="1:4" ht="30">
      <c r="A13" s="344" t="s">
        <v>44</v>
      </c>
      <c r="B13" s="8">
        <v>5</v>
      </c>
      <c r="C13" s="9" t="s">
        <v>28</v>
      </c>
      <c r="D13" s="10" t="s">
        <v>45</v>
      </c>
    </row>
    <row r="14" spans="1:4">
      <c r="A14" s="332"/>
      <c r="B14" s="8">
        <v>4</v>
      </c>
      <c r="C14" s="9" t="s">
        <v>30</v>
      </c>
      <c r="D14" s="10" t="s">
        <v>46</v>
      </c>
    </row>
    <row r="15" spans="1:4">
      <c r="A15" s="332"/>
      <c r="B15" s="8">
        <v>3</v>
      </c>
      <c r="C15" s="9" t="s">
        <v>32</v>
      </c>
      <c r="D15" s="10" t="s">
        <v>47</v>
      </c>
    </row>
    <row r="16" spans="1:4" ht="18" customHeight="1">
      <c r="A16" s="332"/>
      <c r="B16" s="8">
        <v>2</v>
      </c>
      <c r="C16" s="9" t="s">
        <v>34</v>
      </c>
      <c r="D16" s="10" t="s">
        <v>48</v>
      </c>
    </row>
    <row r="17" spans="1:4" ht="18" customHeight="1">
      <c r="A17" s="333"/>
      <c r="B17" s="8">
        <v>1</v>
      </c>
      <c r="C17" s="9" t="s">
        <v>36</v>
      </c>
      <c r="D17" s="10" t="s">
        <v>49</v>
      </c>
    </row>
    <row r="18" spans="1:4" ht="18" customHeight="1">
      <c r="A18" s="345" t="s">
        <v>50</v>
      </c>
      <c r="B18" s="11">
        <v>5</v>
      </c>
      <c r="C18" s="12" t="s">
        <v>28</v>
      </c>
      <c r="D18" s="13" t="s">
        <v>51</v>
      </c>
    </row>
    <row r="19" spans="1:4" ht="18" customHeight="1">
      <c r="A19" s="332"/>
      <c r="B19" s="11">
        <v>4</v>
      </c>
      <c r="C19" s="12" t="s">
        <v>30</v>
      </c>
      <c r="D19" s="13" t="s">
        <v>52</v>
      </c>
    </row>
    <row r="20" spans="1:4" ht="18" customHeight="1">
      <c r="A20" s="332"/>
      <c r="B20" s="11">
        <v>3</v>
      </c>
      <c r="C20" s="12" t="s">
        <v>32</v>
      </c>
      <c r="D20" s="13" t="s">
        <v>53</v>
      </c>
    </row>
    <row r="21" spans="1:4" ht="18" customHeight="1">
      <c r="A21" s="332"/>
      <c r="B21" s="11">
        <v>2</v>
      </c>
      <c r="C21" s="12" t="s">
        <v>34</v>
      </c>
      <c r="D21" s="13" t="s">
        <v>54</v>
      </c>
    </row>
    <row r="22" spans="1:4" ht="18" customHeight="1">
      <c r="A22" s="333"/>
      <c r="B22" s="11">
        <v>1</v>
      </c>
      <c r="C22" s="12" t="s">
        <v>36</v>
      </c>
      <c r="D22" s="13" t="s">
        <v>55</v>
      </c>
    </row>
    <row r="23" spans="1:4" ht="30.75" customHeight="1">
      <c r="A23" s="331" t="s">
        <v>56</v>
      </c>
      <c r="B23" s="14">
        <v>5</v>
      </c>
      <c r="C23" s="15" t="s">
        <v>28</v>
      </c>
      <c r="D23" s="16" t="s">
        <v>57</v>
      </c>
    </row>
    <row r="24" spans="1:4">
      <c r="A24" s="332"/>
      <c r="B24" s="14">
        <v>4</v>
      </c>
      <c r="C24" s="15" t="s">
        <v>30</v>
      </c>
      <c r="D24" s="16" t="s">
        <v>58</v>
      </c>
    </row>
    <row r="25" spans="1:4" ht="30">
      <c r="A25" s="332"/>
      <c r="B25" s="14">
        <v>3</v>
      </c>
      <c r="C25" s="15" t="s">
        <v>32</v>
      </c>
      <c r="D25" s="16" t="s">
        <v>59</v>
      </c>
    </row>
    <row r="26" spans="1:4" ht="18" customHeight="1">
      <c r="A26" s="332"/>
      <c r="B26" s="14">
        <v>2</v>
      </c>
      <c r="C26" s="15" t="s">
        <v>34</v>
      </c>
      <c r="D26" s="16" t="s">
        <v>60</v>
      </c>
    </row>
    <row r="27" spans="1:4" ht="18" customHeight="1">
      <c r="A27" s="333"/>
      <c r="B27" s="14">
        <v>1</v>
      </c>
      <c r="C27" s="15" t="s">
        <v>36</v>
      </c>
      <c r="D27" s="16" t="s">
        <v>61</v>
      </c>
    </row>
    <row r="28" spans="1:4" ht="30" customHeight="1">
      <c r="A28" s="346" t="s">
        <v>62</v>
      </c>
      <c r="B28" s="347"/>
      <c r="C28" s="347"/>
      <c r="D28" s="348"/>
    </row>
    <row r="29" spans="1:4" ht="18" customHeight="1">
      <c r="A29" s="334"/>
      <c r="B29" s="349" t="s">
        <v>63</v>
      </c>
      <c r="C29" s="350"/>
      <c r="D29" s="259" t="s">
        <v>64</v>
      </c>
    </row>
    <row r="30" spans="1:4" ht="18" customHeight="1">
      <c r="A30" s="335"/>
      <c r="B30" s="260">
        <v>5</v>
      </c>
      <c r="C30" s="261" t="s">
        <v>28</v>
      </c>
      <c r="D30" s="262" t="s">
        <v>65</v>
      </c>
    </row>
    <row r="31" spans="1:4" ht="18" customHeight="1">
      <c r="A31" s="335"/>
      <c r="B31" s="260">
        <v>4</v>
      </c>
      <c r="C31" s="261" t="s">
        <v>30</v>
      </c>
      <c r="D31" s="262" t="s">
        <v>66</v>
      </c>
    </row>
    <row r="32" spans="1:4" ht="18" customHeight="1">
      <c r="A32" s="335"/>
      <c r="B32" s="260">
        <v>3</v>
      </c>
      <c r="C32" s="261" t="s">
        <v>32</v>
      </c>
      <c r="D32" s="262" t="s">
        <v>67</v>
      </c>
    </row>
    <row r="33" spans="1:4" ht="18" customHeight="1">
      <c r="A33" s="335"/>
      <c r="B33" s="260">
        <v>2</v>
      </c>
      <c r="C33" s="261" t="s">
        <v>34</v>
      </c>
      <c r="D33" s="262" t="s">
        <v>68</v>
      </c>
    </row>
    <row r="34" spans="1:4" ht="18" customHeight="1">
      <c r="A34" s="336"/>
      <c r="B34" s="260">
        <v>1</v>
      </c>
      <c r="C34" s="261" t="s">
        <v>36</v>
      </c>
      <c r="D34" s="262" t="s">
        <v>69</v>
      </c>
    </row>
    <row r="35" spans="1:4" ht="18" customHeight="1">
      <c r="A35" s="17"/>
      <c r="B35" s="18"/>
      <c r="C35" s="19"/>
      <c r="D35" s="17"/>
    </row>
    <row r="36" spans="1:4" ht="18" customHeight="1">
      <c r="A36" s="17"/>
      <c r="B36" s="18"/>
      <c r="C36" s="19"/>
      <c r="D36" s="17"/>
    </row>
    <row r="37" spans="1:4" ht="18" customHeight="1">
      <c r="A37" s="17"/>
      <c r="B37" s="18"/>
      <c r="C37" s="19"/>
      <c r="D37" s="17"/>
    </row>
    <row r="38" spans="1:4" ht="18" customHeight="1">
      <c r="A38" s="17"/>
      <c r="B38" s="18"/>
      <c r="C38" s="19"/>
      <c r="D38" s="17"/>
    </row>
    <row r="39" spans="1:4" ht="18" customHeight="1">
      <c r="A39" s="17"/>
      <c r="B39" s="18"/>
      <c r="C39" s="19"/>
      <c r="D39" s="17"/>
    </row>
    <row r="40" spans="1:4" ht="18" customHeight="1">
      <c r="A40" s="17"/>
      <c r="B40" s="18"/>
      <c r="C40" s="19"/>
      <c r="D40" s="17"/>
    </row>
    <row r="41" spans="1:4" ht="18" customHeight="1">
      <c r="A41" s="17"/>
      <c r="B41" s="18"/>
      <c r="C41" s="19"/>
      <c r="D41" s="17"/>
    </row>
    <row r="42" spans="1:4" ht="18" customHeight="1">
      <c r="A42" s="17"/>
      <c r="B42" s="18"/>
      <c r="C42" s="19"/>
      <c r="D42" s="17"/>
    </row>
    <row r="43" spans="1:4" ht="18" customHeight="1">
      <c r="A43" s="17"/>
      <c r="B43" s="18"/>
      <c r="C43" s="19"/>
      <c r="D43" s="17"/>
    </row>
    <row r="44" spans="1:4" ht="18" customHeight="1">
      <c r="A44" s="17"/>
      <c r="B44" s="18"/>
      <c r="C44" s="19"/>
      <c r="D44" s="17"/>
    </row>
    <row r="45" spans="1:4" ht="18" customHeight="1">
      <c r="A45" s="17"/>
      <c r="B45" s="18"/>
      <c r="C45" s="19"/>
      <c r="D45" s="17"/>
    </row>
    <row r="46" spans="1:4" ht="18" customHeight="1">
      <c r="A46" s="17"/>
      <c r="B46" s="18"/>
      <c r="C46" s="19"/>
      <c r="D46" s="17"/>
    </row>
    <row r="47" spans="1:4" ht="18" customHeight="1">
      <c r="A47" s="17"/>
      <c r="B47" s="18"/>
      <c r="C47" s="19"/>
      <c r="D47" s="17"/>
    </row>
    <row r="48" spans="1:4" ht="18" customHeight="1">
      <c r="A48" s="17"/>
      <c r="B48" s="18"/>
      <c r="C48" s="19"/>
      <c r="D48" s="17"/>
    </row>
    <row r="49" spans="1:4" ht="18" customHeight="1">
      <c r="A49" s="17"/>
      <c r="B49" s="18"/>
      <c r="C49" s="19"/>
      <c r="D49" s="17"/>
    </row>
    <row r="50" spans="1:4" ht="18" customHeight="1">
      <c r="A50" s="17"/>
      <c r="B50" s="18"/>
      <c r="C50" s="19"/>
      <c r="D50" s="17"/>
    </row>
    <row r="51" spans="1:4" ht="18" customHeight="1">
      <c r="A51" s="17"/>
      <c r="B51" s="18"/>
      <c r="C51" s="19"/>
      <c r="D51" s="17"/>
    </row>
    <row r="52" spans="1:4" ht="18" customHeight="1">
      <c r="A52" s="17"/>
      <c r="B52" s="18"/>
      <c r="C52" s="19"/>
      <c r="D52" s="17"/>
    </row>
    <row r="53" spans="1:4" ht="18" customHeight="1">
      <c r="A53" s="17"/>
      <c r="B53" s="18"/>
      <c r="C53" s="19"/>
      <c r="D53" s="17"/>
    </row>
    <row r="54" spans="1:4" ht="18" customHeight="1">
      <c r="A54" s="17"/>
      <c r="B54" s="18"/>
      <c r="C54" s="19"/>
      <c r="D54" s="17"/>
    </row>
    <row r="55" spans="1:4" ht="18" customHeight="1">
      <c r="A55" s="17"/>
      <c r="B55" s="18"/>
      <c r="C55" s="19"/>
      <c r="D55" s="17"/>
    </row>
    <row r="56" spans="1:4" ht="18" customHeight="1">
      <c r="A56" s="17"/>
      <c r="B56" s="18"/>
      <c r="C56" s="19"/>
      <c r="D56" s="17"/>
    </row>
    <row r="57" spans="1:4" ht="18" customHeight="1">
      <c r="A57" s="17"/>
      <c r="B57" s="18"/>
      <c r="C57" s="19"/>
      <c r="D57" s="17"/>
    </row>
    <row r="58" spans="1:4" ht="18" customHeight="1">
      <c r="A58" s="17"/>
      <c r="B58" s="18"/>
      <c r="C58" s="19"/>
      <c r="D58" s="17"/>
    </row>
    <row r="59" spans="1:4" ht="18" customHeight="1">
      <c r="A59" s="17"/>
      <c r="B59" s="18"/>
      <c r="C59" s="19"/>
      <c r="D59" s="17"/>
    </row>
    <row r="60" spans="1:4" ht="18" customHeight="1">
      <c r="A60" s="17"/>
      <c r="B60" s="18"/>
      <c r="C60" s="19"/>
      <c r="D60" s="17"/>
    </row>
    <row r="61" spans="1:4" ht="18" customHeight="1">
      <c r="A61" s="17"/>
      <c r="B61" s="18"/>
      <c r="C61" s="19"/>
      <c r="D61" s="17"/>
    </row>
    <row r="62" spans="1:4" ht="18" customHeight="1">
      <c r="A62" s="17"/>
      <c r="B62" s="18"/>
      <c r="C62" s="19"/>
      <c r="D62" s="17"/>
    </row>
    <row r="63" spans="1:4" ht="18" customHeight="1">
      <c r="A63" s="17"/>
      <c r="B63" s="18"/>
      <c r="C63" s="19"/>
      <c r="D63" s="17"/>
    </row>
    <row r="64" spans="1:4" ht="18" customHeight="1">
      <c r="A64" s="17"/>
      <c r="B64" s="18"/>
      <c r="C64" s="19"/>
      <c r="D64" s="17"/>
    </row>
    <row r="65" spans="1:4" ht="18" customHeight="1">
      <c r="A65" s="17"/>
      <c r="B65" s="18"/>
      <c r="C65" s="19"/>
      <c r="D65" s="17"/>
    </row>
    <row r="66" spans="1:4" ht="18" customHeight="1">
      <c r="A66" s="17"/>
      <c r="B66" s="18"/>
      <c r="C66" s="19"/>
      <c r="D66" s="17"/>
    </row>
    <row r="67" spans="1:4" ht="18" customHeight="1">
      <c r="A67" s="17"/>
      <c r="B67" s="18"/>
      <c r="C67" s="19"/>
      <c r="D67" s="17"/>
    </row>
    <row r="68" spans="1:4" ht="18" customHeight="1">
      <c r="A68" s="17"/>
      <c r="B68" s="18"/>
      <c r="C68" s="19"/>
      <c r="D68" s="17"/>
    </row>
    <row r="69" spans="1:4" ht="18" customHeight="1">
      <c r="A69" s="17"/>
      <c r="B69" s="18"/>
      <c r="C69" s="19"/>
      <c r="D69" s="17"/>
    </row>
    <row r="70" spans="1:4" ht="18" customHeight="1">
      <c r="A70" s="17"/>
      <c r="B70" s="18"/>
      <c r="C70" s="19"/>
      <c r="D70" s="17"/>
    </row>
    <row r="71" spans="1:4" ht="18" customHeight="1">
      <c r="A71" s="17"/>
      <c r="B71" s="18"/>
      <c r="C71" s="19"/>
      <c r="D71" s="17"/>
    </row>
    <row r="72" spans="1:4" ht="18" customHeight="1">
      <c r="A72" s="17"/>
      <c r="B72" s="18"/>
      <c r="C72" s="19"/>
      <c r="D72" s="17"/>
    </row>
    <row r="73" spans="1:4" ht="18" customHeight="1">
      <c r="A73" s="17"/>
      <c r="B73" s="18"/>
      <c r="C73" s="19"/>
      <c r="D73" s="17"/>
    </row>
    <row r="74" spans="1:4" ht="18" customHeight="1">
      <c r="A74" s="17"/>
      <c r="B74" s="18"/>
      <c r="C74" s="19"/>
      <c r="D74" s="17"/>
    </row>
    <row r="75" spans="1:4" ht="18" customHeight="1">
      <c r="A75" s="17"/>
      <c r="B75" s="18"/>
      <c r="C75" s="19"/>
      <c r="D75" s="17"/>
    </row>
    <row r="76" spans="1:4" ht="18" customHeight="1">
      <c r="A76" s="17"/>
      <c r="B76" s="18"/>
      <c r="C76" s="19"/>
      <c r="D76" s="17"/>
    </row>
    <row r="77" spans="1:4" ht="18" customHeight="1">
      <c r="A77" s="17"/>
      <c r="B77" s="18"/>
      <c r="C77" s="19"/>
      <c r="D77" s="17"/>
    </row>
    <row r="78" spans="1:4" ht="18" customHeight="1">
      <c r="A78" s="17"/>
      <c r="B78" s="18"/>
      <c r="C78" s="19"/>
      <c r="D78" s="17"/>
    </row>
    <row r="79" spans="1:4" ht="18" customHeight="1">
      <c r="A79" s="17"/>
      <c r="B79" s="18"/>
      <c r="C79" s="19"/>
      <c r="D79" s="17"/>
    </row>
    <row r="80" spans="1:4" ht="18" customHeight="1">
      <c r="A80" s="17"/>
      <c r="B80" s="18"/>
      <c r="C80" s="19"/>
      <c r="D80" s="17"/>
    </row>
    <row r="81" spans="1:4" ht="18" customHeight="1">
      <c r="A81" s="17"/>
      <c r="B81" s="18"/>
      <c r="C81" s="19"/>
      <c r="D81" s="17"/>
    </row>
    <row r="82" spans="1:4" ht="18" customHeight="1">
      <c r="A82" s="17"/>
      <c r="B82" s="18"/>
      <c r="C82" s="19"/>
      <c r="D82" s="17"/>
    </row>
    <row r="83" spans="1:4" ht="18" customHeight="1">
      <c r="A83" s="17"/>
      <c r="B83" s="18"/>
      <c r="C83" s="19"/>
      <c r="D83" s="17"/>
    </row>
    <row r="84" spans="1:4" ht="18" customHeight="1">
      <c r="A84" s="17"/>
      <c r="B84" s="18"/>
      <c r="C84" s="19"/>
      <c r="D84" s="17"/>
    </row>
    <row r="85" spans="1:4" ht="18" customHeight="1">
      <c r="A85" s="17"/>
      <c r="B85" s="18"/>
      <c r="C85" s="19"/>
      <c r="D85" s="17"/>
    </row>
    <row r="86" spans="1:4" ht="18" customHeight="1">
      <c r="A86" s="17"/>
      <c r="B86" s="18"/>
      <c r="C86" s="19"/>
      <c r="D86" s="17"/>
    </row>
    <row r="87" spans="1:4" ht="18" customHeight="1">
      <c r="A87" s="17"/>
      <c r="B87" s="18"/>
      <c r="C87" s="19"/>
      <c r="D87" s="17"/>
    </row>
    <row r="88" spans="1:4" ht="18" customHeight="1">
      <c r="A88" s="17"/>
      <c r="B88" s="18"/>
      <c r="C88" s="19"/>
      <c r="D88" s="17"/>
    </row>
    <row r="89" spans="1:4" ht="18" customHeight="1">
      <c r="A89" s="17"/>
      <c r="B89" s="18"/>
      <c r="C89" s="19"/>
      <c r="D89" s="17"/>
    </row>
    <row r="90" spans="1:4" ht="18" customHeight="1">
      <c r="A90" s="17"/>
      <c r="B90" s="18"/>
      <c r="C90" s="19"/>
      <c r="D90" s="17"/>
    </row>
    <row r="91" spans="1:4" ht="18" customHeight="1">
      <c r="A91" s="17"/>
      <c r="B91" s="18"/>
      <c r="C91" s="19"/>
      <c r="D91" s="17"/>
    </row>
    <row r="92" spans="1:4" ht="18" customHeight="1">
      <c r="A92" s="17"/>
      <c r="B92" s="18"/>
      <c r="C92" s="19"/>
      <c r="D92" s="17"/>
    </row>
    <row r="93" spans="1:4" ht="18" customHeight="1">
      <c r="A93" s="17"/>
      <c r="B93" s="18"/>
      <c r="C93" s="19"/>
      <c r="D93" s="17"/>
    </row>
    <row r="94" spans="1:4" ht="18" customHeight="1">
      <c r="A94" s="17"/>
      <c r="B94" s="18"/>
      <c r="C94" s="19"/>
      <c r="D94" s="17"/>
    </row>
    <row r="95" spans="1:4" ht="18" customHeight="1">
      <c r="A95" s="17"/>
      <c r="B95" s="18"/>
      <c r="C95" s="19"/>
      <c r="D95" s="17"/>
    </row>
    <row r="96" spans="1:4" ht="18" customHeight="1">
      <c r="A96" s="17"/>
      <c r="B96" s="18"/>
      <c r="C96" s="19"/>
      <c r="D96" s="17"/>
    </row>
    <row r="97" spans="1:4" ht="18" customHeight="1">
      <c r="A97" s="17"/>
      <c r="B97" s="18"/>
      <c r="C97" s="19"/>
      <c r="D97" s="17"/>
    </row>
    <row r="98" spans="1:4" ht="18" customHeight="1">
      <c r="A98" s="17"/>
      <c r="B98" s="18"/>
      <c r="C98" s="19"/>
      <c r="D98" s="17"/>
    </row>
    <row r="99" spans="1:4" ht="18" customHeight="1">
      <c r="A99" s="17"/>
      <c r="B99" s="18"/>
      <c r="C99" s="19"/>
      <c r="D99" s="17"/>
    </row>
    <row r="100" spans="1:4" ht="18" customHeight="1">
      <c r="A100" s="17"/>
      <c r="B100" s="18"/>
      <c r="C100" s="19"/>
      <c r="D100" s="17"/>
    </row>
    <row r="101" spans="1:4" ht="18" customHeight="1">
      <c r="A101" s="17"/>
      <c r="B101" s="18"/>
      <c r="C101" s="19"/>
      <c r="D101" s="17"/>
    </row>
    <row r="102" spans="1:4" ht="18" customHeight="1">
      <c r="A102" s="17"/>
      <c r="B102" s="18"/>
      <c r="C102" s="19"/>
      <c r="D102" s="17"/>
    </row>
    <row r="103" spans="1:4" ht="18" customHeight="1">
      <c r="A103" s="17"/>
      <c r="B103" s="18"/>
      <c r="C103" s="19"/>
      <c r="D103" s="17"/>
    </row>
    <row r="104" spans="1:4" ht="18" customHeight="1">
      <c r="A104" s="17"/>
      <c r="B104" s="18"/>
      <c r="C104" s="19"/>
      <c r="D104" s="17"/>
    </row>
    <row r="105" spans="1:4" ht="18" customHeight="1">
      <c r="A105" s="17"/>
      <c r="B105" s="18"/>
      <c r="C105" s="19"/>
      <c r="D105" s="17"/>
    </row>
    <row r="106" spans="1:4" ht="18" customHeight="1">
      <c r="A106" s="17"/>
      <c r="B106" s="18"/>
      <c r="C106" s="19"/>
      <c r="D106" s="17"/>
    </row>
    <row r="107" spans="1:4" ht="18" customHeight="1">
      <c r="A107" s="17"/>
      <c r="B107" s="18"/>
      <c r="C107" s="19"/>
      <c r="D107" s="17"/>
    </row>
    <row r="108" spans="1:4" ht="18" customHeight="1">
      <c r="A108" s="17"/>
      <c r="B108" s="18"/>
      <c r="C108" s="19"/>
      <c r="D108" s="17"/>
    </row>
    <row r="109" spans="1:4" ht="18" customHeight="1">
      <c r="A109" s="17"/>
      <c r="B109" s="18"/>
      <c r="C109" s="19"/>
      <c r="D109" s="17"/>
    </row>
    <row r="110" spans="1:4" ht="18" customHeight="1">
      <c r="A110" s="17"/>
      <c r="B110" s="18"/>
      <c r="C110" s="19"/>
      <c r="D110" s="17"/>
    </row>
    <row r="111" spans="1:4" ht="18" customHeight="1">
      <c r="A111" s="17"/>
      <c r="B111" s="18"/>
      <c r="C111" s="19"/>
      <c r="D111" s="17"/>
    </row>
    <row r="112" spans="1:4" ht="18" customHeight="1">
      <c r="A112" s="17"/>
      <c r="B112" s="18"/>
      <c r="C112" s="19"/>
      <c r="D112" s="17"/>
    </row>
    <row r="113" spans="1:4" ht="18" customHeight="1">
      <c r="A113" s="17"/>
      <c r="B113" s="18"/>
      <c r="C113" s="19"/>
      <c r="D113" s="17"/>
    </row>
    <row r="114" spans="1:4" ht="18" customHeight="1">
      <c r="A114" s="17"/>
      <c r="B114" s="18"/>
      <c r="C114" s="19"/>
      <c r="D114" s="17"/>
    </row>
    <row r="115" spans="1:4" ht="18" customHeight="1">
      <c r="A115" s="17"/>
      <c r="B115" s="18"/>
      <c r="C115" s="19"/>
      <c r="D115" s="17"/>
    </row>
    <row r="116" spans="1:4" ht="18" customHeight="1">
      <c r="A116" s="17"/>
      <c r="B116" s="18"/>
      <c r="C116" s="19"/>
      <c r="D116" s="17"/>
    </row>
    <row r="117" spans="1:4" ht="18" customHeight="1">
      <c r="A117" s="17"/>
      <c r="B117" s="18"/>
      <c r="C117" s="19"/>
      <c r="D117" s="17"/>
    </row>
    <row r="118" spans="1:4" ht="18" customHeight="1">
      <c r="A118" s="17"/>
      <c r="B118" s="18"/>
      <c r="C118" s="19"/>
      <c r="D118" s="17"/>
    </row>
    <row r="119" spans="1:4" ht="18" customHeight="1">
      <c r="A119" s="17"/>
      <c r="B119" s="18"/>
      <c r="C119" s="19"/>
      <c r="D119" s="17"/>
    </row>
    <row r="120" spans="1:4" ht="18" customHeight="1">
      <c r="A120" s="17"/>
      <c r="B120" s="18"/>
      <c r="C120" s="19"/>
      <c r="D120" s="17"/>
    </row>
    <row r="121" spans="1:4" ht="18" customHeight="1">
      <c r="A121" s="17"/>
      <c r="B121" s="18"/>
      <c r="C121" s="19"/>
      <c r="D121" s="17"/>
    </row>
    <row r="122" spans="1:4" ht="18" customHeight="1">
      <c r="A122" s="17"/>
      <c r="B122" s="18"/>
      <c r="C122" s="19"/>
      <c r="D122" s="17"/>
    </row>
    <row r="123" spans="1:4" ht="18" customHeight="1">
      <c r="A123" s="17"/>
      <c r="B123" s="18"/>
      <c r="C123" s="19"/>
      <c r="D123" s="17"/>
    </row>
    <row r="124" spans="1:4" ht="18" customHeight="1">
      <c r="A124" s="17"/>
      <c r="B124" s="18"/>
      <c r="C124" s="19"/>
      <c r="D124" s="17"/>
    </row>
    <row r="125" spans="1:4" ht="18" customHeight="1">
      <c r="A125" s="17"/>
      <c r="B125" s="18"/>
      <c r="C125" s="19"/>
      <c r="D125" s="17"/>
    </row>
    <row r="126" spans="1:4" ht="18" customHeight="1">
      <c r="A126" s="17"/>
      <c r="B126" s="18"/>
      <c r="C126" s="19"/>
      <c r="D126" s="17"/>
    </row>
    <row r="127" spans="1:4" ht="18" customHeight="1">
      <c r="A127" s="17"/>
      <c r="B127" s="18"/>
      <c r="C127" s="19"/>
      <c r="D127" s="17"/>
    </row>
    <row r="128" spans="1:4" ht="18" customHeight="1">
      <c r="A128" s="17"/>
      <c r="B128" s="18"/>
      <c r="C128" s="19"/>
      <c r="D128" s="17"/>
    </row>
    <row r="129" spans="1:4" ht="18" customHeight="1">
      <c r="A129" s="17"/>
      <c r="B129" s="18"/>
      <c r="C129" s="19"/>
      <c r="D129" s="17"/>
    </row>
    <row r="130" spans="1:4" ht="18" customHeight="1">
      <c r="A130" s="17"/>
      <c r="B130" s="18"/>
      <c r="C130" s="19"/>
      <c r="D130" s="17"/>
    </row>
    <row r="131" spans="1:4" ht="18" customHeight="1">
      <c r="A131" s="17"/>
      <c r="B131" s="18"/>
      <c r="C131" s="19"/>
      <c r="D131" s="17"/>
    </row>
    <row r="132" spans="1:4" ht="18" customHeight="1">
      <c r="A132" s="17"/>
      <c r="B132" s="18"/>
      <c r="C132" s="19"/>
      <c r="D132" s="17"/>
    </row>
    <row r="133" spans="1:4" ht="18" customHeight="1">
      <c r="A133" s="17"/>
      <c r="B133" s="18"/>
      <c r="C133" s="19"/>
      <c r="D133" s="17"/>
    </row>
    <row r="134" spans="1:4" ht="18" customHeight="1">
      <c r="A134" s="17"/>
      <c r="B134" s="18"/>
      <c r="C134" s="19"/>
      <c r="D134" s="17"/>
    </row>
    <row r="135" spans="1:4" ht="18" customHeight="1">
      <c r="A135" s="17"/>
      <c r="B135" s="18"/>
      <c r="C135" s="19"/>
      <c r="D135" s="17"/>
    </row>
    <row r="136" spans="1:4" ht="18" customHeight="1">
      <c r="A136" s="17"/>
      <c r="B136" s="18"/>
      <c r="C136" s="19"/>
      <c r="D136" s="17"/>
    </row>
    <row r="137" spans="1:4" ht="18" customHeight="1">
      <c r="A137" s="17"/>
      <c r="B137" s="18"/>
      <c r="C137" s="19"/>
      <c r="D137" s="17"/>
    </row>
    <row r="138" spans="1:4" ht="18" customHeight="1">
      <c r="A138" s="17"/>
      <c r="B138" s="18"/>
      <c r="C138" s="19"/>
      <c r="D138" s="17"/>
    </row>
    <row r="139" spans="1:4" ht="18" customHeight="1">
      <c r="A139" s="17"/>
      <c r="B139" s="18"/>
      <c r="C139" s="19"/>
      <c r="D139" s="17"/>
    </row>
    <row r="140" spans="1:4" ht="18" customHeight="1">
      <c r="A140" s="17"/>
      <c r="B140" s="18"/>
      <c r="C140" s="19"/>
      <c r="D140" s="17"/>
    </row>
    <row r="141" spans="1:4" ht="18" customHeight="1">
      <c r="A141" s="17"/>
      <c r="B141" s="18"/>
      <c r="C141" s="19"/>
      <c r="D141" s="17"/>
    </row>
    <row r="142" spans="1:4" ht="18" customHeight="1">
      <c r="A142" s="17"/>
      <c r="B142" s="18"/>
      <c r="C142" s="19"/>
      <c r="D142" s="17"/>
    </row>
    <row r="143" spans="1:4" ht="18" customHeight="1">
      <c r="A143" s="17"/>
      <c r="B143" s="18"/>
      <c r="C143" s="19"/>
      <c r="D143" s="17"/>
    </row>
    <row r="144" spans="1:4" ht="18" customHeight="1">
      <c r="A144" s="17"/>
      <c r="B144" s="18"/>
      <c r="C144" s="19"/>
      <c r="D144" s="17"/>
    </row>
    <row r="145" spans="1:4" ht="18" customHeight="1">
      <c r="A145" s="17"/>
      <c r="B145" s="18"/>
      <c r="C145" s="19"/>
      <c r="D145" s="17"/>
    </row>
    <row r="146" spans="1:4" ht="18" customHeight="1">
      <c r="A146" s="17"/>
      <c r="B146" s="18"/>
      <c r="C146" s="19"/>
      <c r="D146" s="17"/>
    </row>
    <row r="147" spans="1:4" ht="18" customHeight="1">
      <c r="A147" s="17"/>
      <c r="B147" s="18"/>
      <c r="C147" s="19"/>
      <c r="D147" s="17"/>
    </row>
    <row r="148" spans="1:4" ht="18" customHeight="1">
      <c r="A148" s="17"/>
      <c r="B148" s="18"/>
      <c r="C148" s="19"/>
      <c r="D148" s="17"/>
    </row>
    <row r="149" spans="1:4" ht="18" customHeight="1">
      <c r="A149" s="17"/>
      <c r="B149" s="18"/>
      <c r="C149" s="19"/>
      <c r="D149" s="17"/>
    </row>
    <row r="150" spans="1:4" ht="18" customHeight="1">
      <c r="A150" s="17"/>
      <c r="B150" s="18"/>
      <c r="C150" s="19"/>
      <c r="D150" s="17"/>
    </row>
    <row r="151" spans="1:4" ht="18" customHeight="1">
      <c r="A151" s="17"/>
      <c r="B151" s="18"/>
      <c r="C151" s="19"/>
      <c r="D151" s="17"/>
    </row>
    <row r="152" spans="1:4" ht="18" customHeight="1">
      <c r="A152" s="17"/>
      <c r="B152" s="18"/>
      <c r="C152" s="19"/>
      <c r="D152" s="17"/>
    </row>
    <row r="153" spans="1:4" ht="18" customHeight="1">
      <c r="A153" s="17"/>
      <c r="B153" s="18"/>
      <c r="C153" s="19"/>
      <c r="D153" s="17"/>
    </row>
    <row r="154" spans="1:4" ht="18" customHeight="1">
      <c r="A154" s="17"/>
      <c r="B154" s="18"/>
      <c r="C154" s="19"/>
      <c r="D154" s="17"/>
    </row>
    <row r="155" spans="1:4" ht="18" customHeight="1">
      <c r="A155" s="17"/>
      <c r="B155" s="18"/>
      <c r="C155" s="19"/>
      <c r="D155" s="17"/>
    </row>
    <row r="156" spans="1:4" ht="18" customHeight="1">
      <c r="A156" s="17"/>
      <c r="B156" s="18"/>
      <c r="C156" s="19"/>
      <c r="D156" s="17"/>
    </row>
    <row r="157" spans="1:4" ht="18" customHeight="1">
      <c r="A157" s="17"/>
      <c r="B157" s="18"/>
      <c r="C157" s="19"/>
      <c r="D157" s="17"/>
    </row>
    <row r="158" spans="1:4" ht="18" customHeight="1">
      <c r="A158" s="17"/>
      <c r="B158" s="18"/>
      <c r="C158" s="19"/>
      <c r="D158" s="17"/>
    </row>
    <row r="159" spans="1:4" ht="18" customHeight="1">
      <c r="A159" s="17"/>
      <c r="B159" s="18"/>
      <c r="C159" s="19"/>
      <c r="D159" s="17"/>
    </row>
    <row r="160" spans="1:4" ht="18" customHeight="1">
      <c r="A160" s="17"/>
      <c r="B160" s="18"/>
      <c r="C160" s="19"/>
      <c r="D160" s="17"/>
    </row>
    <row r="161" spans="1:4" ht="18" customHeight="1">
      <c r="A161" s="17"/>
      <c r="B161" s="18"/>
      <c r="C161" s="19"/>
      <c r="D161" s="17"/>
    </row>
    <row r="162" spans="1:4" ht="18" customHeight="1">
      <c r="A162" s="17"/>
      <c r="B162" s="18"/>
      <c r="C162" s="19"/>
      <c r="D162" s="17"/>
    </row>
    <row r="163" spans="1:4" ht="18" customHeight="1">
      <c r="A163" s="17"/>
      <c r="B163" s="18"/>
      <c r="C163" s="19"/>
      <c r="D163" s="17"/>
    </row>
    <row r="164" spans="1:4" ht="18" customHeight="1">
      <c r="A164" s="17"/>
      <c r="B164" s="18"/>
      <c r="C164" s="19"/>
      <c r="D164" s="17"/>
    </row>
    <row r="165" spans="1:4" ht="18" customHeight="1">
      <c r="A165" s="17"/>
      <c r="B165" s="18"/>
      <c r="C165" s="19"/>
      <c r="D165" s="17"/>
    </row>
    <row r="166" spans="1:4" ht="18" customHeight="1">
      <c r="A166" s="17"/>
      <c r="B166" s="18"/>
      <c r="C166" s="19"/>
      <c r="D166" s="17"/>
    </row>
    <row r="167" spans="1:4" ht="18" customHeight="1">
      <c r="A167" s="17"/>
      <c r="B167" s="18"/>
      <c r="C167" s="19"/>
      <c r="D167" s="17"/>
    </row>
    <row r="168" spans="1:4" ht="18" customHeight="1">
      <c r="A168" s="17"/>
      <c r="B168" s="18"/>
      <c r="C168" s="19"/>
      <c r="D168" s="17"/>
    </row>
    <row r="169" spans="1:4" ht="18" customHeight="1">
      <c r="A169" s="17"/>
      <c r="B169" s="18"/>
      <c r="C169" s="19"/>
      <c r="D169" s="17"/>
    </row>
    <row r="170" spans="1:4" ht="18" customHeight="1">
      <c r="A170" s="17"/>
      <c r="B170" s="18"/>
      <c r="C170" s="19"/>
      <c r="D170" s="17"/>
    </row>
    <row r="171" spans="1:4" ht="18" customHeight="1">
      <c r="A171" s="17"/>
      <c r="B171" s="18"/>
      <c r="C171" s="19"/>
      <c r="D171" s="17"/>
    </row>
    <row r="172" spans="1:4" ht="18" customHeight="1">
      <c r="A172" s="17"/>
      <c r="B172" s="18"/>
      <c r="C172" s="19"/>
      <c r="D172" s="17"/>
    </row>
    <row r="173" spans="1:4" ht="18" customHeight="1">
      <c r="A173" s="17"/>
      <c r="B173" s="18"/>
      <c r="C173" s="19"/>
      <c r="D173" s="17"/>
    </row>
    <row r="174" spans="1:4" ht="18" customHeight="1">
      <c r="A174" s="17"/>
      <c r="B174" s="18"/>
      <c r="C174" s="19"/>
      <c r="D174" s="17"/>
    </row>
    <row r="175" spans="1:4" ht="18" customHeight="1">
      <c r="A175" s="17"/>
      <c r="B175" s="18"/>
      <c r="C175" s="19"/>
      <c r="D175" s="17"/>
    </row>
    <row r="176" spans="1:4" ht="18" customHeight="1">
      <c r="A176" s="17"/>
      <c r="B176" s="18"/>
      <c r="C176" s="19"/>
      <c r="D176" s="17"/>
    </row>
    <row r="177" spans="1:4" ht="18" customHeight="1">
      <c r="A177" s="17"/>
      <c r="B177" s="18"/>
      <c r="C177" s="19"/>
      <c r="D177" s="17"/>
    </row>
    <row r="178" spans="1:4" ht="18" customHeight="1">
      <c r="A178" s="17"/>
      <c r="B178" s="18"/>
      <c r="C178" s="19"/>
      <c r="D178" s="17"/>
    </row>
    <row r="179" spans="1:4" ht="18" customHeight="1">
      <c r="A179" s="17"/>
      <c r="B179" s="18"/>
      <c r="C179" s="19"/>
      <c r="D179" s="17"/>
    </row>
    <row r="180" spans="1:4" ht="18" customHeight="1">
      <c r="A180" s="17"/>
      <c r="B180" s="18"/>
      <c r="C180" s="19"/>
      <c r="D180" s="17"/>
    </row>
    <row r="181" spans="1:4" ht="18" customHeight="1">
      <c r="A181" s="17"/>
      <c r="B181" s="18"/>
      <c r="C181" s="19"/>
      <c r="D181" s="17"/>
    </row>
    <row r="182" spans="1:4" ht="18" customHeight="1">
      <c r="A182" s="17"/>
      <c r="B182" s="18"/>
      <c r="C182" s="19"/>
      <c r="D182" s="17"/>
    </row>
    <row r="183" spans="1:4" ht="18" customHeight="1">
      <c r="A183" s="17"/>
      <c r="B183" s="18"/>
      <c r="C183" s="19"/>
      <c r="D183" s="17"/>
    </row>
    <row r="184" spans="1:4" ht="18" customHeight="1">
      <c r="A184" s="17"/>
      <c r="B184" s="18"/>
      <c r="C184" s="19"/>
      <c r="D184" s="17"/>
    </row>
    <row r="185" spans="1:4" ht="18" customHeight="1">
      <c r="A185" s="17"/>
      <c r="B185" s="18"/>
      <c r="C185" s="19"/>
      <c r="D185" s="17"/>
    </row>
    <row r="186" spans="1:4" ht="18" customHeight="1">
      <c r="A186" s="17"/>
      <c r="B186" s="18"/>
      <c r="C186" s="19"/>
      <c r="D186" s="17"/>
    </row>
    <row r="187" spans="1:4" ht="18" customHeight="1">
      <c r="A187" s="17"/>
      <c r="B187" s="18"/>
      <c r="C187" s="19"/>
      <c r="D187" s="17"/>
    </row>
    <row r="188" spans="1:4" ht="18" customHeight="1">
      <c r="A188" s="17"/>
      <c r="B188" s="18"/>
      <c r="C188" s="19"/>
      <c r="D188" s="17"/>
    </row>
    <row r="189" spans="1:4" ht="18" customHeight="1">
      <c r="A189" s="17"/>
      <c r="B189" s="18"/>
      <c r="C189" s="19"/>
      <c r="D189" s="17"/>
    </row>
    <row r="190" spans="1:4" ht="18" customHeight="1">
      <c r="A190" s="17"/>
      <c r="B190" s="18"/>
      <c r="C190" s="19"/>
      <c r="D190" s="17"/>
    </row>
    <row r="191" spans="1:4" ht="18" customHeight="1">
      <c r="A191" s="17"/>
      <c r="B191" s="18"/>
      <c r="C191" s="19"/>
      <c r="D191" s="17"/>
    </row>
    <row r="192" spans="1:4" ht="18" customHeight="1">
      <c r="A192" s="17"/>
      <c r="B192" s="18"/>
      <c r="C192" s="19"/>
      <c r="D192" s="17"/>
    </row>
    <row r="193" spans="1:4" ht="18" customHeight="1">
      <c r="A193" s="17"/>
      <c r="B193" s="18"/>
      <c r="C193" s="19"/>
      <c r="D193" s="17"/>
    </row>
    <row r="194" spans="1:4" ht="18" customHeight="1">
      <c r="A194" s="17"/>
      <c r="B194" s="18"/>
      <c r="C194" s="19"/>
      <c r="D194" s="17"/>
    </row>
    <row r="195" spans="1:4" ht="18" customHeight="1">
      <c r="A195" s="17"/>
      <c r="B195" s="18"/>
      <c r="C195" s="19"/>
      <c r="D195" s="17"/>
    </row>
    <row r="196" spans="1:4" ht="18" customHeight="1">
      <c r="A196" s="17"/>
      <c r="B196" s="18"/>
      <c r="C196" s="19"/>
      <c r="D196" s="17"/>
    </row>
    <row r="197" spans="1:4" ht="18" customHeight="1">
      <c r="A197" s="17"/>
      <c r="B197" s="18"/>
      <c r="C197" s="19"/>
      <c r="D197" s="17"/>
    </row>
    <row r="198" spans="1:4" ht="18" customHeight="1">
      <c r="A198" s="17"/>
      <c r="B198" s="18"/>
      <c r="C198" s="19"/>
      <c r="D198" s="17"/>
    </row>
    <row r="199" spans="1:4" ht="18" customHeight="1">
      <c r="A199" s="17"/>
      <c r="B199" s="18"/>
      <c r="C199" s="19"/>
      <c r="D199" s="17"/>
    </row>
    <row r="200" spans="1:4" ht="18" customHeight="1">
      <c r="A200" s="17"/>
      <c r="B200" s="18"/>
      <c r="C200" s="19"/>
      <c r="D200" s="17"/>
    </row>
    <row r="201" spans="1:4" ht="18" customHeight="1">
      <c r="A201" s="17"/>
      <c r="B201" s="18"/>
      <c r="C201" s="19"/>
      <c r="D201" s="17"/>
    </row>
    <row r="202" spans="1:4" ht="18" customHeight="1">
      <c r="A202" s="17"/>
      <c r="B202" s="18"/>
      <c r="C202" s="19"/>
      <c r="D202" s="17"/>
    </row>
    <row r="203" spans="1:4" ht="18" customHeight="1">
      <c r="A203" s="17"/>
      <c r="B203" s="18"/>
      <c r="C203" s="19"/>
      <c r="D203" s="17"/>
    </row>
    <row r="204" spans="1:4" ht="18" customHeight="1">
      <c r="A204" s="17"/>
      <c r="B204" s="18"/>
      <c r="C204" s="19"/>
      <c r="D204" s="17"/>
    </row>
    <row r="205" spans="1:4" ht="18" customHeight="1">
      <c r="A205" s="17"/>
      <c r="B205" s="18"/>
      <c r="C205" s="19"/>
      <c r="D205" s="17"/>
    </row>
    <row r="206" spans="1:4" ht="18" customHeight="1">
      <c r="A206" s="17"/>
      <c r="B206" s="18"/>
      <c r="C206" s="19"/>
      <c r="D206" s="17"/>
    </row>
    <row r="207" spans="1:4" ht="18" customHeight="1">
      <c r="A207" s="17"/>
      <c r="B207" s="18"/>
      <c r="C207" s="19"/>
      <c r="D207" s="17"/>
    </row>
    <row r="208" spans="1:4" ht="18" customHeight="1">
      <c r="A208" s="17"/>
      <c r="B208" s="18"/>
      <c r="C208" s="19"/>
      <c r="D208" s="17"/>
    </row>
    <row r="209" spans="1:4" ht="18" customHeight="1">
      <c r="A209" s="17"/>
      <c r="B209" s="18"/>
      <c r="C209" s="19"/>
      <c r="D209" s="17"/>
    </row>
    <row r="210" spans="1:4" ht="18" customHeight="1">
      <c r="A210" s="17"/>
      <c r="B210" s="18"/>
      <c r="C210" s="19"/>
      <c r="D210" s="17"/>
    </row>
    <row r="211" spans="1:4" ht="18" customHeight="1">
      <c r="A211" s="17"/>
      <c r="B211" s="18"/>
      <c r="C211" s="19"/>
      <c r="D211" s="17"/>
    </row>
    <row r="212" spans="1:4" ht="18" customHeight="1">
      <c r="A212" s="17"/>
      <c r="B212" s="18"/>
      <c r="C212" s="19"/>
      <c r="D212" s="17"/>
    </row>
    <row r="213" spans="1:4" ht="18" customHeight="1">
      <c r="A213" s="17"/>
      <c r="B213" s="18"/>
      <c r="C213" s="19"/>
      <c r="D213" s="17"/>
    </row>
    <row r="214" spans="1:4" ht="18" customHeight="1">
      <c r="A214" s="17"/>
      <c r="B214" s="18"/>
      <c r="C214" s="19"/>
      <c r="D214" s="17"/>
    </row>
    <row r="215" spans="1:4" ht="18" customHeight="1">
      <c r="A215" s="17"/>
      <c r="B215" s="18"/>
      <c r="C215" s="19"/>
      <c r="D215" s="17"/>
    </row>
    <row r="216" spans="1:4" ht="18" customHeight="1">
      <c r="A216" s="17"/>
      <c r="B216" s="18"/>
      <c r="C216" s="19"/>
      <c r="D216" s="17"/>
    </row>
    <row r="217" spans="1:4" ht="18" customHeight="1">
      <c r="A217" s="17"/>
      <c r="B217" s="18"/>
      <c r="C217" s="19"/>
      <c r="D217" s="17"/>
    </row>
    <row r="218" spans="1:4" ht="18" customHeight="1">
      <c r="A218" s="17"/>
      <c r="B218" s="18"/>
      <c r="C218" s="19"/>
      <c r="D218" s="17"/>
    </row>
    <row r="219" spans="1:4" ht="18" customHeight="1">
      <c r="A219" s="17"/>
      <c r="B219" s="18"/>
      <c r="C219" s="19"/>
      <c r="D219" s="17"/>
    </row>
    <row r="220" spans="1:4" ht="18" customHeight="1">
      <c r="A220" s="17"/>
      <c r="B220" s="18"/>
      <c r="C220" s="19"/>
      <c r="D220" s="17"/>
    </row>
    <row r="221" spans="1:4" ht="18" customHeight="1">
      <c r="A221" s="17"/>
      <c r="B221" s="18"/>
      <c r="C221" s="19"/>
      <c r="D221" s="17"/>
    </row>
    <row r="222" spans="1:4" ht="18" customHeight="1">
      <c r="A222" s="17"/>
      <c r="B222" s="18"/>
      <c r="C222" s="19"/>
      <c r="D222" s="17"/>
    </row>
    <row r="223" spans="1:4" ht="18" customHeight="1">
      <c r="A223" s="17"/>
      <c r="B223" s="18"/>
      <c r="C223" s="19"/>
      <c r="D223" s="17"/>
    </row>
    <row r="224" spans="1:4" ht="18" customHeight="1">
      <c r="A224" s="17"/>
      <c r="B224" s="18"/>
      <c r="C224" s="19"/>
      <c r="D224" s="17"/>
    </row>
    <row r="225" spans="1:4" ht="18" customHeight="1">
      <c r="A225" s="17"/>
      <c r="B225" s="18"/>
      <c r="C225" s="19"/>
      <c r="D225" s="17"/>
    </row>
    <row r="226" spans="1:4" ht="18" customHeight="1">
      <c r="A226" s="17"/>
      <c r="B226" s="18"/>
      <c r="C226" s="19"/>
      <c r="D226" s="17"/>
    </row>
    <row r="227" spans="1:4" ht="18" customHeight="1">
      <c r="A227" s="17"/>
      <c r="B227" s="18"/>
      <c r="C227" s="19"/>
      <c r="D227" s="17"/>
    </row>
    <row r="228" spans="1:4" ht="18" customHeight="1">
      <c r="A228" s="17"/>
      <c r="B228" s="18"/>
      <c r="C228" s="19"/>
      <c r="D228" s="17"/>
    </row>
    <row r="229" spans="1:4" ht="18" customHeight="1">
      <c r="A229" s="17"/>
      <c r="B229" s="18"/>
      <c r="C229" s="19"/>
      <c r="D229" s="17"/>
    </row>
    <row r="230" spans="1:4" ht="18" customHeight="1">
      <c r="A230" s="17"/>
      <c r="B230" s="18"/>
      <c r="C230" s="19"/>
      <c r="D230" s="17"/>
    </row>
    <row r="231" spans="1:4" ht="18" customHeight="1">
      <c r="A231" s="17"/>
      <c r="B231" s="18"/>
      <c r="C231" s="19"/>
      <c r="D231" s="17"/>
    </row>
    <row r="232" spans="1:4" ht="18" customHeight="1">
      <c r="A232" s="17"/>
      <c r="B232" s="18"/>
      <c r="C232" s="19"/>
      <c r="D232" s="17"/>
    </row>
    <row r="233" spans="1:4" ht="18" customHeight="1">
      <c r="A233" s="17"/>
      <c r="B233" s="18"/>
      <c r="C233" s="19"/>
      <c r="D233" s="17"/>
    </row>
    <row r="234" spans="1:4" ht="18" customHeight="1">
      <c r="A234" s="17"/>
      <c r="B234" s="18"/>
      <c r="C234" s="19"/>
      <c r="D234" s="17"/>
    </row>
    <row r="235" spans="1:4" ht="18" customHeight="1">
      <c r="A235" s="18"/>
      <c r="B235" s="18"/>
      <c r="C235" s="20"/>
      <c r="D235" s="18"/>
    </row>
    <row r="236" spans="1:4" ht="18" customHeight="1">
      <c r="A236" s="18"/>
      <c r="B236" s="18"/>
      <c r="C236" s="20"/>
      <c r="D236" s="18"/>
    </row>
    <row r="237" spans="1:4" ht="18" customHeight="1">
      <c r="A237" s="18"/>
      <c r="B237" s="18"/>
      <c r="C237" s="20"/>
      <c r="D237" s="18"/>
    </row>
    <row r="238" spans="1:4" ht="18" customHeight="1">
      <c r="A238" s="18"/>
      <c r="B238" s="18"/>
      <c r="C238" s="20"/>
      <c r="D238" s="18"/>
    </row>
    <row r="239" spans="1:4" ht="18" customHeight="1">
      <c r="A239" s="18"/>
      <c r="B239" s="18"/>
      <c r="C239" s="20"/>
      <c r="D239" s="18"/>
    </row>
    <row r="240" spans="1:4" ht="18" customHeight="1">
      <c r="A240" s="18"/>
      <c r="B240" s="18"/>
      <c r="C240" s="20"/>
      <c r="D240" s="18"/>
    </row>
    <row r="241" spans="1:4" ht="18" customHeight="1">
      <c r="A241" s="18"/>
      <c r="B241" s="18"/>
      <c r="C241" s="20"/>
      <c r="D241" s="18"/>
    </row>
    <row r="242" spans="1:4" ht="18" customHeight="1">
      <c r="A242" s="18"/>
      <c r="B242" s="18"/>
      <c r="C242" s="20"/>
      <c r="D242" s="18"/>
    </row>
    <row r="243" spans="1:4" ht="18" customHeight="1">
      <c r="A243" s="18"/>
      <c r="B243" s="18"/>
      <c r="C243" s="20"/>
      <c r="D243" s="18"/>
    </row>
    <row r="244" spans="1:4" ht="18" customHeight="1">
      <c r="A244" s="18"/>
      <c r="B244" s="18"/>
      <c r="C244" s="20"/>
      <c r="D244" s="18"/>
    </row>
    <row r="245" spans="1:4" ht="18" customHeight="1">
      <c r="A245" s="18"/>
      <c r="B245" s="18"/>
      <c r="C245" s="20"/>
      <c r="D245" s="18"/>
    </row>
    <row r="246" spans="1:4" ht="18" customHeight="1">
      <c r="A246" s="18"/>
      <c r="B246" s="18"/>
      <c r="C246" s="20"/>
      <c r="D246" s="18"/>
    </row>
    <row r="247" spans="1:4" ht="18" customHeight="1">
      <c r="A247" s="18"/>
      <c r="B247" s="18"/>
      <c r="C247" s="20"/>
      <c r="D247" s="18"/>
    </row>
    <row r="248" spans="1:4" ht="18" customHeight="1">
      <c r="A248" s="18"/>
      <c r="B248" s="18"/>
      <c r="C248" s="20"/>
      <c r="D248" s="18"/>
    </row>
    <row r="249" spans="1:4" ht="18" customHeight="1">
      <c r="A249" s="18"/>
      <c r="B249" s="18"/>
      <c r="C249" s="20"/>
      <c r="D249" s="18"/>
    </row>
    <row r="250" spans="1:4" ht="18" customHeight="1">
      <c r="A250" s="18"/>
      <c r="B250" s="18"/>
      <c r="C250" s="20"/>
      <c r="D250" s="18"/>
    </row>
    <row r="251" spans="1:4" ht="18" customHeight="1">
      <c r="A251" s="18"/>
      <c r="B251" s="18"/>
      <c r="C251" s="20"/>
      <c r="D251" s="18"/>
    </row>
    <row r="252" spans="1:4" ht="18" customHeight="1">
      <c r="A252" s="18"/>
      <c r="B252" s="18"/>
      <c r="C252" s="20"/>
      <c r="D252" s="18"/>
    </row>
    <row r="253" spans="1:4" ht="18" customHeight="1">
      <c r="A253" s="18"/>
      <c r="B253" s="18"/>
      <c r="C253" s="20"/>
      <c r="D253" s="18"/>
    </row>
    <row r="254" spans="1:4" ht="18" customHeight="1">
      <c r="A254" s="18"/>
      <c r="B254" s="18"/>
      <c r="C254" s="20"/>
      <c r="D254" s="18"/>
    </row>
    <row r="255" spans="1:4" ht="18" customHeight="1">
      <c r="A255" s="18"/>
      <c r="B255" s="18"/>
      <c r="C255" s="20"/>
      <c r="D255" s="18"/>
    </row>
    <row r="256" spans="1:4" ht="18" customHeight="1">
      <c r="A256" s="18"/>
      <c r="B256" s="18"/>
      <c r="C256" s="20"/>
      <c r="D256" s="18"/>
    </row>
    <row r="257" spans="1:4" ht="18" customHeight="1">
      <c r="A257" s="18"/>
      <c r="B257" s="18"/>
      <c r="C257" s="20"/>
      <c r="D257" s="18"/>
    </row>
    <row r="258" spans="1:4" ht="18" customHeight="1">
      <c r="A258" s="18"/>
      <c r="B258" s="18"/>
      <c r="C258" s="20"/>
      <c r="D258" s="18"/>
    </row>
    <row r="259" spans="1:4" ht="18" customHeight="1">
      <c r="A259" s="18"/>
      <c r="B259" s="18"/>
      <c r="C259" s="20"/>
      <c r="D259" s="18"/>
    </row>
    <row r="260" spans="1:4" ht="18" customHeight="1">
      <c r="A260" s="18"/>
      <c r="B260" s="18"/>
      <c r="C260" s="20"/>
      <c r="D260" s="18"/>
    </row>
    <row r="261" spans="1:4" ht="18" customHeight="1">
      <c r="A261" s="18"/>
      <c r="B261" s="18"/>
      <c r="C261" s="20"/>
      <c r="D261" s="18"/>
    </row>
    <row r="262" spans="1:4" ht="18" customHeight="1">
      <c r="A262" s="18"/>
      <c r="B262" s="18"/>
      <c r="C262" s="20"/>
      <c r="D262" s="18"/>
    </row>
    <row r="263" spans="1:4" ht="18" customHeight="1">
      <c r="A263" s="18"/>
      <c r="B263" s="18"/>
      <c r="C263" s="20"/>
      <c r="D263" s="18"/>
    </row>
    <row r="264" spans="1:4" ht="18" customHeight="1">
      <c r="A264" s="18"/>
      <c r="B264" s="18"/>
      <c r="C264" s="20"/>
      <c r="D264" s="18"/>
    </row>
    <row r="265" spans="1:4" ht="18" customHeight="1">
      <c r="A265" s="18"/>
      <c r="B265" s="18"/>
      <c r="C265" s="20"/>
      <c r="D265" s="18"/>
    </row>
    <row r="266" spans="1:4" ht="18" customHeight="1">
      <c r="A266" s="18"/>
      <c r="B266" s="18"/>
      <c r="C266" s="20"/>
      <c r="D266" s="18"/>
    </row>
    <row r="267" spans="1:4" ht="18" customHeight="1">
      <c r="A267" s="18"/>
      <c r="B267" s="18"/>
      <c r="C267" s="20"/>
      <c r="D267" s="18"/>
    </row>
    <row r="268" spans="1:4" ht="18" customHeight="1">
      <c r="A268" s="18"/>
      <c r="B268" s="18"/>
      <c r="C268" s="20"/>
      <c r="D268" s="18"/>
    </row>
    <row r="269" spans="1:4" ht="18" customHeight="1">
      <c r="A269" s="18"/>
      <c r="B269" s="18"/>
      <c r="C269" s="20"/>
      <c r="D269" s="18"/>
    </row>
    <row r="270" spans="1:4" ht="18" customHeight="1">
      <c r="A270" s="18"/>
      <c r="B270" s="18"/>
      <c r="C270" s="20"/>
      <c r="D270" s="18"/>
    </row>
    <row r="271" spans="1:4" ht="18" customHeight="1">
      <c r="A271" s="18"/>
      <c r="B271" s="18"/>
      <c r="C271" s="20"/>
      <c r="D271" s="18"/>
    </row>
    <row r="272" spans="1:4" ht="18" customHeight="1">
      <c r="A272" s="18"/>
      <c r="B272" s="18"/>
      <c r="C272" s="20"/>
      <c r="D272" s="18"/>
    </row>
    <row r="273" spans="1:4" ht="18" customHeight="1">
      <c r="A273" s="18"/>
      <c r="B273" s="18"/>
      <c r="C273" s="20"/>
      <c r="D273" s="18"/>
    </row>
    <row r="274" spans="1:4" ht="18" customHeight="1">
      <c r="A274" s="18"/>
      <c r="B274" s="18"/>
      <c r="C274" s="20"/>
      <c r="D274" s="18"/>
    </row>
    <row r="275" spans="1:4" ht="18" customHeight="1">
      <c r="A275" s="18"/>
      <c r="B275" s="18"/>
      <c r="C275" s="20"/>
      <c r="D275" s="18"/>
    </row>
    <row r="276" spans="1:4" ht="18" customHeight="1">
      <c r="A276" s="18"/>
      <c r="B276" s="18"/>
      <c r="C276" s="20"/>
      <c r="D276" s="18"/>
    </row>
    <row r="277" spans="1:4" ht="18" customHeight="1">
      <c r="A277" s="18"/>
      <c r="B277" s="18"/>
      <c r="C277" s="20"/>
      <c r="D277" s="18"/>
    </row>
    <row r="278" spans="1:4" ht="18" customHeight="1">
      <c r="A278" s="18"/>
      <c r="B278" s="18"/>
      <c r="C278" s="20"/>
      <c r="D278" s="18"/>
    </row>
    <row r="279" spans="1:4" ht="18" customHeight="1">
      <c r="A279" s="18"/>
      <c r="B279" s="18"/>
      <c r="C279" s="20"/>
      <c r="D279" s="18"/>
    </row>
    <row r="280" spans="1:4" ht="18" customHeight="1">
      <c r="A280" s="18"/>
      <c r="B280" s="18"/>
      <c r="C280" s="20"/>
      <c r="D280" s="18"/>
    </row>
    <row r="281" spans="1:4" ht="18" customHeight="1">
      <c r="A281" s="18"/>
      <c r="B281" s="18"/>
      <c r="C281" s="20"/>
      <c r="D281" s="18"/>
    </row>
    <row r="282" spans="1:4" ht="18" customHeight="1">
      <c r="A282" s="18"/>
      <c r="B282" s="18"/>
      <c r="C282" s="20"/>
      <c r="D282" s="18"/>
    </row>
    <row r="283" spans="1:4" ht="18" customHeight="1">
      <c r="A283" s="18"/>
      <c r="B283" s="18"/>
      <c r="C283" s="20"/>
      <c r="D283" s="18"/>
    </row>
    <row r="284" spans="1:4" ht="18" customHeight="1">
      <c r="A284" s="18"/>
      <c r="B284" s="18"/>
      <c r="C284" s="20"/>
      <c r="D284" s="18"/>
    </row>
    <row r="285" spans="1:4" ht="18" customHeight="1">
      <c r="A285" s="18"/>
      <c r="B285" s="18"/>
      <c r="C285" s="20"/>
      <c r="D285" s="18"/>
    </row>
    <row r="286" spans="1:4" ht="18" customHeight="1">
      <c r="A286" s="18"/>
      <c r="B286" s="18"/>
      <c r="C286" s="20"/>
      <c r="D286" s="18"/>
    </row>
    <row r="287" spans="1:4" ht="18" customHeight="1">
      <c r="A287" s="18"/>
      <c r="B287" s="18"/>
      <c r="C287" s="20"/>
      <c r="D287" s="18"/>
    </row>
    <row r="288" spans="1:4" ht="18" customHeight="1">
      <c r="A288" s="18"/>
      <c r="B288" s="18"/>
      <c r="C288" s="20"/>
      <c r="D288" s="18"/>
    </row>
    <row r="289" spans="1:4" ht="18" customHeight="1">
      <c r="A289" s="18"/>
      <c r="B289" s="18"/>
      <c r="C289" s="20"/>
      <c r="D289" s="18"/>
    </row>
    <row r="290" spans="1:4" ht="18" customHeight="1">
      <c r="A290" s="18"/>
      <c r="B290" s="18"/>
      <c r="C290" s="20"/>
      <c r="D290" s="18"/>
    </row>
    <row r="291" spans="1:4" ht="18" customHeight="1">
      <c r="A291" s="18"/>
      <c r="B291" s="18"/>
      <c r="C291" s="20"/>
      <c r="D291" s="18"/>
    </row>
    <row r="292" spans="1:4" ht="18" customHeight="1">
      <c r="A292" s="18"/>
      <c r="B292" s="18"/>
      <c r="C292" s="20"/>
      <c r="D292" s="18"/>
    </row>
    <row r="293" spans="1:4" ht="18" customHeight="1">
      <c r="A293" s="18"/>
      <c r="B293" s="18"/>
      <c r="C293" s="20"/>
      <c r="D293" s="18"/>
    </row>
    <row r="294" spans="1:4" ht="18" customHeight="1">
      <c r="A294" s="18"/>
      <c r="B294" s="18"/>
      <c r="C294" s="20"/>
      <c r="D294" s="18"/>
    </row>
    <row r="295" spans="1:4" ht="18" customHeight="1">
      <c r="A295" s="18"/>
      <c r="B295" s="18"/>
      <c r="C295" s="20"/>
      <c r="D295" s="18"/>
    </row>
    <row r="296" spans="1:4" ht="18" customHeight="1">
      <c r="A296" s="18"/>
      <c r="B296" s="18"/>
      <c r="C296" s="20"/>
      <c r="D296" s="18"/>
    </row>
    <row r="297" spans="1:4" ht="18" customHeight="1">
      <c r="A297" s="18"/>
      <c r="B297" s="18"/>
      <c r="C297" s="20"/>
      <c r="D297" s="18"/>
    </row>
    <row r="298" spans="1:4" ht="18" customHeight="1">
      <c r="A298" s="18"/>
      <c r="B298" s="18"/>
      <c r="C298" s="20"/>
      <c r="D298" s="18"/>
    </row>
    <row r="299" spans="1:4" ht="18" customHeight="1">
      <c r="A299" s="18"/>
      <c r="B299" s="18"/>
      <c r="C299" s="20"/>
      <c r="D299" s="18"/>
    </row>
    <row r="300" spans="1:4" ht="18" customHeight="1">
      <c r="A300" s="18"/>
      <c r="B300" s="18"/>
      <c r="C300" s="20"/>
      <c r="D300" s="18"/>
    </row>
    <row r="301" spans="1:4" ht="18" customHeight="1">
      <c r="A301" s="18"/>
      <c r="B301" s="18"/>
      <c r="C301" s="20"/>
      <c r="D301" s="18"/>
    </row>
    <row r="302" spans="1:4" ht="18" customHeight="1">
      <c r="A302" s="18"/>
      <c r="B302" s="18"/>
      <c r="C302" s="20"/>
      <c r="D302" s="18"/>
    </row>
    <row r="303" spans="1:4" ht="18" customHeight="1">
      <c r="A303" s="18"/>
      <c r="B303" s="18"/>
      <c r="C303" s="20"/>
      <c r="D303" s="18"/>
    </row>
    <row r="304" spans="1:4" ht="18" customHeight="1">
      <c r="A304" s="18"/>
      <c r="B304" s="18"/>
      <c r="C304" s="20"/>
      <c r="D304" s="18"/>
    </row>
    <row r="305" spans="1:4" ht="18" customHeight="1">
      <c r="A305" s="18"/>
      <c r="B305" s="18"/>
      <c r="C305" s="20"/>
      <c r="D305" s="18"/>
    </row>
    <row r="306" spans="1:4" ht="18" customHeight="1">
      <c r="A306" s="18"/>
      <c r="B306" s="18"/>
      <c r="C306" s="20"/>
      <c r="D306" s="18"/>
    </row>
    <row r="307" spans="1:4" ht="18" customHeight="1">
      <c r="A307" s="18"/>
      <c r="B307" s="18"/>
      <c r="C307" s="20"/>
      <c r="D307" s="18"/>
    </row>
    <row r="308" spans="1:4" ht="18" customHeight="1">
      <c r="A308" s="18"/>
      <c r="B308" s="18"/>
      <c r="C308" s="20"/>
      <c r="D308" s="18"/>
    </row>
    <row r="309" spans="1:4" ht="18" customHeight="1">
      <c r="A309" s="18"/>
      <c r="B309" s="18"/>
      <c r="C309" s="20"/>
      <c r="D309" s="18"/>
    </row>
    <row r="310" spans="1:4" ht="18" customHeight="1">
      <c r="A310" s="18"/>
      <c r="B310" s="18"/>
      <c r="C310" s="20"/>
      <c r="D310" s="18"/>
    </row>
    <row r="311" spans="1:4" ht="18" customHeight="1">
      <c r="A311" s="18"/>
      <c r="B311" s="18"/>
      <c r="C311" s="20"/>
      <c r="D311" s="18"/>
    </row>
    <row r="312" spans="1:4" ht="18" customHeight="1">
      <c r="A312" s="18"/>
      <c r="B312" s="18"/>
      <c r="C312" s="20"/>
      <c r="D312" s="18"/>
    </row>
    <row r="313" spans="1:4" ht="18" customHeight="1">
      <c r="A313" s="18"/>
      <c r="B313" s="18"/>
      <c r="C313" s="20"/>
      <c r="D313" s="18"/>
    </row>
    <row r="314" spans="1:4" ht="18" customHeight="1">
      <c r="A314" s="18"/>
      <c r="B314" s="18"/>
      <c r="C314" s="20"/>
      <c r="D314" s="18"/>
    </row>
    <row r="315" spans="1:4" ht="18" customHeight="1">
      <c r="A315" s="18"/>
      <c r="B315" s="18"/>
      <c r="C315" s="20"/>
      <c r="D315" s="18"/>
    </row>
    <row r="316" spans="1:4" ht="18" customHeight="1">
      <c r="A316" s="18"/>
      <c r="B316" s="18"/>
      <c r="C316" s="20"/>
      <c r="D316" s="18"/>
    </row>
    <row r="317" spans="1:4" ht="18" customHeight="1">
      <c r="A317" s="18"/>
      <c r="B317" s="18"/>
      <c r="C317" s="20"/>
      <c r="D317" s="18"/>
    </row>
    <row r="318" spans="1:4" ht="18" customHeight="1">
      <c r="A318" s="18"/>
      <c r="B318" s="18"/>
      <c r="C318" s="20"/>
      <c r="D318" s="18"/>
    </row>
    <row r="319" spans="1:4" ht="18" customHeight="1">
      <c r="A319" s="18"/>
      <c r="B319" s="18"/>
      <c r="C319" s="20"/>
      <c r="D319" s="18"/>
    </row>
    <row r="320" spans="1:4" ht="18" customHeight="1">
      <c r="A320" s="18"/>
      <c r="B320" s="18"/>
      <c r="C320" s="20"/>
      <c r="D320" s="18"/>
    </row>
    <row r="321" spans="1:4" ht="18" customHeight="1">
      <c r="A321" s="18"/>
      <c r="B321" s="18"/>
      <c r="C321" s="20"/>
      <c r="D321" s="18"/>
    </row>
    <row r="322" spans="1:4" ht="18" customHeight="1">
      <c r="A322" s="18"/>
      <c r="B322" s="18"/>
      <c r="C322" s="20"/>
      <c r="D322" s="18"/>
    </row>
    <row r="323" spans="1:4" ht="18" customHeight="1">
      <c r="A323" s="18"/>
      <c r="B323" s="18"/>
      <c r="C323" s="20"/>
      <c r="D323" s="18"/>
    </row>
    <row r="324" spans="1:4" ht="18" customHeight="1">
      <c r="A324" s="18"/>
      <c r="B324" s="18"/>
      <c r="C324" s="20"/>
      <c r="D324" s="18"/>
    </row>
    <row r="325" spans="1:4" ht="18" customHeight="1">
      <c r="A325" s="18"/>
      <c r="B325" s="18"/>
      <c r="C325" s="20"/>
      <c r="D325" s="18"/>
    </row>
    <row r="326" spans="1:4" ht="18" customHeight="1">
      <c r="A326" s="18"/>
      <c r="B326" s="18"/>
      <c r="C326" s="20"/>
      <c r="D326" s="18"/>
    </row>
    <row r="327" spans="1:4" ht="18" customHeight="1">
      <c r="A327" s="18"/>
      <c r="B327" s="18"/>
      <c r="C327" s="20"/>
      <c r="D327" s="18"/>
    </row>
    <row r="328" spans="1:4" ht="18" customHeight="1">
      <c r="A328" s="18"/>
      <c r="B328" s="18"/>
      <c r="C328" s="20"/>
      <c r="D328" s="18"/>
    </row>
    <row r="329" spans="1:4" ht="18" customHeight="1">
      <c r="A329" s="18"/>
      <c r="B329" s="18"/>
      <c r="C329" s="20"/>
      <c r="D329" s="18"/>
    </row>
    <row r="330" spans="1:4" ht="18" customHeight="1">
      <c r="A330" s="18"/>
      <c r="B330" s="18"/>
      <c r="C330" s="20"/>
      <c r="D330" s="18"/>
    </row>
    <row r="331" spans="1:4" ht="18" customHeight="1">
      <c r="A331" s="18"/>
      <c r="B331" s="18"/>
      <c r="C331" s="20"/>
      <c r="D331" s="18"/>
    </row>
    <row r="332" spans="1:4" ht="18" customHeight="1">
      <c r="A332" s="18"/>
      <c r="B332" s="18"/>
      <c r="C332" s="20"/>
      <c r="D332" s="18"/>
    </row>
    <row r="333" spans="1:4" ht="18" customHeight="1">
      <c r="A333" s="18"/>
      <c r="B333" s="18"/>
      <c r="C333" s="20"/>
      <c r="D333" s="18"/>
    </row>
    <row r="334" spans="1:4" ht="18" customHeight="1">
      <c r="A334" s="18"/>
      <c r="B334" s="18"/>
      <c r="C334" s="20"/>
      <c r="D334" s="18"/>
    </row>
    <row r="335" spans="1:4" ht="18" customHeight="1">
      <c r="A335" s="18"/>
      <c r="B335" s="18"/>
      <c r="C335" s="20"/>
      <c r="D335" s="18"/>
    </row>
    <row r="336" spans="1:4" ht="18" customHeight="1">
      <c r="A336" s="18"/>
      <c r="B336" s="18"/>
      <c r="C336" s="20"/>
      <c r="D336" s="18"/>
    </row>
    <row r="337" spans="1:4" ht="18" customHeight="1">
      <c r="A337" s="18"/>
      <c r="B337" s="18"/>
      <c r="C337" s="20"/>
      <c r="D337" s="18"/>
    </row>
    <row r="338" spans="1:4" ht="18" customHeight="1">
      <c r="A338" s="18"/>
      <c r="B338" s="18"/>
      <c r="C338" s="20"/>
      <c r="D338" s="18"/>
    </row>
    <row r="339" spans="1:4" ht="18" customHeight="1">
      <c r="A339" s="18"/>
      <c r="B339" s="18"/>
      <c r="C339" s="20"/>
      <c r="D339" s="18"/>
    </row>
    <row r="340" spans="1:4" ht="18" customHeight="1">
      <c r="A340" s="18"/>
      <c r="B340" s="18"/>
      <c r="C340" s="20"/>
      <c r="D340" s="18"/>
    </row>
    <row r="341" spans="1:4" ht="18" customHeight="1">
      <c r="A341" s="18"/>
      <c r="B341" s="18"/>
      <c r="C341" s="20"/>
      <c r="D341" s="18"/>
    </row>
    <row r="342" spans="1:4" ht="18" customHeight="1">
      <c r="A342" s="18"/>
      <c r="B342" s="18"/>
      <c r="C342" s="20"/>
      <c r="D342" s="18"/>
    </row>
    <row r="343" spans="1:4" ht="18" customHeight="1">
      <c r="A343" s="18"/>
      <c r="B343" s="18"/>
      <c r="C343" s="20"/>
      <c r="D343" s="18"/>
    </row>
    <row r="344" spans="1:4" ht="18" customHeight="1">
      <c r="A344" s="18"/>
      <c r="B344" s="18"/>
      <c r="C344" s="20"/>
      <c r="D344" s="18"/>
    </row>
    <row r="345" spans="1:4" ht="18" customHeight="1">
      <c r="A345" s="18"/>
      <c r="B345" s="18"/>
      <c r="C345" s="20"/>
      <c r="D345" s="18"/>
    </row>
    <row r="346" spans="1:4" ht="18" customHeight="1">
      <c r="A346" s="18"/>
      <c r="B346" s="18"/>
      <c r="C346" s="20"/>
      <c r="D346" s="18"/>
    </row>
    <row r="347" spans="1:4" ht="18" customHeight="1">
      <c r="A347" s="18"/>
      <c r="B347" s="18"/>
      <c r="C347" s="20"/>
      <c r="D347" s="18"/>
    </row>
    <row r="348" spans="1:4" ht="18" customHeight="1">
      <c r="A348" s="18"/>
      <c r="B348" s="18"/>
      <c r="C348" s="20"/>
      <c r="D348" s="18"/>
    </row>
    <row r="349" spans="1:4" ht="18" customHeight="1">
      <c r="A349" s="18"/>
      <c r="B349" s="18"/>
      <c r="C349" s="20"/>
      <c r="D349" s="18"/>
    </row>
    <row r="350" spans="1:4" ht="18" customHeight="1">
      <c r="A350" s="18"/>
      <c r="B350" s="18"/>
      <c r="C350" s="20"/>
      <c r="D350" s="18"/>
    </row>
    <row r="351" spans="1:4" ht="18" customHeight="1">
      <c r="A351" s="18"/>
      <c r="B351" s="18"/>
      <c r="C351" s="20"/>
      <c r="D351" s="18"/>
    </row>
    <row r="352" spans="1:4" ht="18" customHeight="1">
      <c r="A352" s="18"/>
      <c r="B352" s="18"/>
      <c r="C352" s="20"/>
      <c r="D352" s="18"/>
    </row>
    <row r="353" spans="1:4" ht="18" customHeight="1">
      <c r="A353" s="18"/>
      <c r="B353" s="18"/>
      <c r="C353" s="20"/>
      <c r="D353" s="18"/>
    </row>
    <row r="354" spans="1:4" ht="18" customHeight="1">
      <c r="A354" s="18"/>
      <c r="B354" s="18"/>
      <c r="C354" s="20"/>
      <c r="D354" s="18"/>
    </row>
    <row r="355" spans="1:4" ht="18" customHeight="1">
      <c r="A355" s="18"/>
      <c r="B355" s="18"/>
      <c r="C355" s="20"/>
      <c r="D355" s="18"/>
    </row>
    <row r="356" spans="1:4" ht="18" customHeight="1">
      <c r="A356" s="18"/>
      <c r="B356" s="18"/>
      <c r="C356" s="20"/>
      <c r="D356" s="18"/>
    </row>
    <row r="357" spans="1:4" ht="18" customHeight="1">
      <c r="A357" s="18"/>
      <c r="B357" s="18"/>
      <c r="C357" s="20"/>
      <c r="D357" s="18"/>
    </row>
    <row r="358" spans="1:4" ht="18" customHeight="1">
      <c r="A358" s="18"/>
      <c r="B358" s="18"/>
      <c r="C358" s="20"/>
      <c r="D358" s="18"/>
    </row>
    <row r="359" spans="1:4" ht="18" customHeight="1">
      <c r="A359" s="18"/>
      <c r="B359" s="18"/>
      <c r="C359" s="20"/>
      <c r="D359" s="18"/>
    </row>
    <row r="360" spans="1:4" ht="18" customHeight="1">
      <c r="A360" s="18"/>
      <c r="B360" s="18"/>
      <c r="C360" s="20"/>
      <c r="D360" s="18"/>
    </row>
    <row r="361" spans="1:4" ht="18" customHeight="1">
      <c r="A361" s="18"/>
      <c r="B361" s="18"/>
      <c r="C361" s="20"/>
      <c r="D361" s="18"/>
    </row>
    <row r="362" spans="1:4" ht="18" customHeight="1">
      <c r="A362" s="18"/>
      <c r="B362" s="18"/>
      <c r="C362" s="20"/>
      <c r="D362" s="18"/>
    </row>
    <row r="363" spans="1:4" ht="18" customHeight="1">
      <c r="A363" s="18"/>
      <c r="B363" s="18"/>
      <c r="C363" s="20"/>
      <c r="D363" s="18"/>
    </row>
    <row r="364" spans="1:4" ht="18" customHeight="1">
      <c r="A364" s="18"/>
      <c r="B364" s="18"/>
      <c r="C364" s="20"/>
      <c r="D364" s="18"/>
    </row>
    <row r="365" spans="1:4" ht="18" customHeight="1">
      <c r="A365" s="18"/>
      <c r="B365" s="18"/>
      <c r="C365" s="20"/>
      <c r="D365" s="18"/>
    </row>
    <row r="366" spans="1:4" ht="18" customHeight="1">
      <c r="A366" s="18"/>
      <c r="B366" s="18"/>
      <c r="C366" s="20"/>
      <c r="D366" s="18"/>
    </row>
    <row r="367" spans="1:4" ht="18" customHeight="1">
      <c r="A367" s="18"/>
      <c r="B367" s="18"/>
      <c r="C367" s="20"/>
      <c r="D367" s="18"/>
    </row>
    <row r="368" spans="1:4" ht="18" customHeight="1">
      <c r="A368" s="18"/>
      <c r="B368" s="18"/>
      <c r="C368" s="20"/>
      <c r="D368" s="18"/>
    </row>
    <row r="369" spans="1:4" ht="18" customHeight="1">
      <c r="A369" s="18"/>
      <c r="B369" s="18"/>
      <c r="C369" s="20"/>
      <c r="D369" s="18"/>
    </row>
    <row r="370" spans="1:4" ht="18" customHeight="1">
      <c r="A370" s="18"/>
      <c r="B370" s="18"/>
      <c r="C370" s="20"/>
      <c r="D370" s="18"/>
    </row>
    <row r="371" spans="1:4" ht="18" customHeight="1">
      <c r="A371" s="18"/>
      <c r="B371" s="18"/>
      <c r="C371" s="20"/>
      <c r="D371" s="18"/>
    </row>
    <row r="372" spans="1:4" ht="18" customHeight="1">
      <c r="A372" s="18"/>
      <c r="B372" s="18"/>
      <c r="C372" s="20"/>
      <c r="D372" s="18"/>
    </row>
    <row r="373" spans="1:4" ht="18" customHeight="1">
      <c r="A373" s="18"/>
      <c r="B373" s="18"/>
      <c r="C373" s="20"/>
      <c r="D373" s="18"/>
    </row>
    <row r="374" spans="1:4" ht="18" customHeight="1">
      <c r="A374" s="18"/>
      <c r="B374" s="18"/>
      <c r="C374" s="20"/>
      <c r="D374" s="18"/>
    </row>
    <row r="375" spans="1:4" ht="18" customHeight="1">
      <c r="A375" s="18"/>
      <c r="B375" s="18"/>
      <c r="C375" s="20"/>
      <c r="D375" s="18"/>
    </row>
    <row r="376" spans="1:4" ht="18" customHeight="1">
      <c r="A376" s="18"/>
      <c r="B376" s="18"/>
      <c r="C376" s="20"/>
      <c r="D376" s="18"/>
    </row>
    <row r="377" spans="1:4" ht="18" customHeight="1">
      <c r="A377" s="18"/>
      <c r="B377" s="18"/>
      <c r="C377" s="20"/>
      <c r="D377" s="18"/>
    </row>
    <row r="378" spans="1:4" ht="18" customHeight="1">
      <c r="A378" s="18"/>
      <c r="B378" s="18"/>
      <c r="C378" s="20"/>
      <c r="D378" s="18"/>
    </row>
    <row r="379" spans="1:4" ht="18" customHeight="1">
      <c r="A379" s="18"/>
      <c r="B379" s="18"/>
      <c r="C379" s="20"/>
      <c r="D379" s="18"/>
    </row>
    <row r="380" spans="1:4" ht="18" customHeight="1">
      <c r="A380" s="18"/>
      <c r="B380" s="18"/>
      <c r="C380" s="20"/>
      <c r="D380" s="18"/>
    </row>
    <row r="381" spans="1:4" ht="18" customHeight="1">
      <c r="A381" s="18"/>
      <c r="B381" s="18"/>
      <c r="C381" s="20"/>
      <c r="D381" s="18"/>
    </row>
    <row r="382" spans="1:4" ht="18" customHeight="1">
      <c r="A382" s="18"/>
      <c r="B382" s="18"/>
      <c r="C382" s="20"/>
      <c r="D382" s="18"/>
    </row>
    <row r="383" spans="1:4" ht="18" customHeight="1">
      <c r="A383" s="18"/>
      <c r="B383" s="18"/>
      <c r="C383" s="20"/>
      <c r="D383" s="18"/>
    </row>
    <row r="384" spans="1:4" ht="18" customHeight="1">
      <c r="A384" s="18"/>
      <c r="B384" s="18"/>
      <c r="C384" s="20"/>
      <c r="D384" s="18"/>
    </row>
    <row r="385" spans="1:4" ht="18" customHeight="1">
      <c r="A385" s="18"/>
      <c r="B385" s="18"/>
      <c r="C385" s="20"/>
      <c r="D385" s="18"/>
    </row>
    <row r="386" spans="1:4" ht="18" customHeight="1">
      <c r="A386" s="18"/>
      <c r="B386" s="18"/>
      <c r="C386" s="20"/>
      <c r="D386" s="18"/>
    </row>
    <row r="387" spans="1:4" ht="18" customHeight="1">
      <c r="A387" s="18"/>
      <c r="B387" s="18"/>
      <c r="C387" s="20"/>
      <c r="D387" s="18"/>
    </row>
    <row r="388" spans="1:4" ht="18" customHeight="1">
      <c r="A388" s="18"/>
      <c r="B388" s="18"/>
      <c r="C388" s="20"/>
      <c r="D388" s="18"/>
    </row>
    <row r="389" spans="1:4" ht="18" customHeight="1">
      <c r="A389" s="18"/>
      <c r="B389" s="18"/>
      <c r="C389" s="20"/>
      <c r="D389" s="18"/>
    </row>
    <row r="390" spans="1:4" ht="18" customHeight="1">
      <c r="A390" s="18"/>
      <c r="B390" s="18"/>
      <c r="C390" s="20"/>
      <c r="D390" s="18"/>
    </row>
    <row r="391" spans="1:4" ht="18" customHeight="1">
      <c r="A391" s="18"/>
      <c r="B391" s="18"/>
      <c r="C391" s="20"/>
      <c r="D391" s="18"/>
    </row>
    <row r="392" spans="1:4" ht="18" customHeight="1">
      <c r="A392" s="18"/>
      <c r="B392" s="18"/>
      <c r="C392" s="20"/>
      <c r="D392" s="18"/>
    </row>
    <row r="393" spans="1:4" ht="18" customHeight="1">
      <c r="A393" s="18"/>
      <c r="B393" s="18"/>
      <c r="C393" s="20"/>
      <c r="D393" s="18"/>
    </row>
    <row r="394" spans="1:4" ht="18" customHeight="1">
      <c r="A394" s="18"/>
      <c r="B394" s="18"/>
      <c r="C394" s="20"/>
      <c r="D394" s="18"/>
    </row>
    <row r="395" spans="1:4" ht="18" customHeight="1">
      <c r="A395" s="18"/>
      <c r="B395" s="18"/>
      <c r="C395" s="20"/>
      <c r="D395" s="18"/>
    </row>
    <row r="396" spans="1:4" ht="18" customHeight="1">
      <c r="A396" s="18"/>
      <c r="B396" s="18"/>
      <c r="C396" s="20"/>
      <c r="D396" s="18"/>
    </row>
    <row r="397" spans="1:4" ht="18" customHeight="1">
      <c r="A397" s="18"/>
      <c r="B397" s="18"/>
      <c r="C397" s="20"/>
      <c r="D397" s="18"/>
    </row>
    <row r="398" spans="1:4" ht="18" customHeight="1">
      <c r="A398" s="18"/>
      <c r="B398" s="18"/>
      <c r="C398" s="20"/>
      <c r="D398" s="18"/>
    </row>
    <row r="399" spans="1:4" ht="18" customHeight="1">
      <c r="A399" s="18"/>
      <c r="B399" s="18"/>
      <c r="C399" s="20"/>
      <c r="D399" s="18"/>
    </row>
    <row r="400" spans="1:4" ht="18" customHeight="1">
      <c r="A400" s="18"/>
      <c r="B400" s="18"/>
      <c r="C400" s="20"/>
      <c r="D400" s="18"/>
    </row>
    <row r="401" spans="1:4" ht="18" customHeight="1">
      <c r="A401" s="18"/>
      <c r="B401" s="18"/>
      <c r="C401" s="20"/>
      <c r="D401" s="18"/>
    </row>
    <row r="402" spans="1:4" ht="18" customHeight="1">
      <c r="A402" s="18"/>
      <c r="B402" s="18"/>
      <c r="C402" s="20"/>
      <c r="D402" s="18"/>
    </row>
    <row r="403" spans="1:4" ht="18" customHeight="1">
      <c r="A403" s="18"/>
      <c r="B403" s="18"/>
      <c r="C403" s="20"/>
      <c r="D403" s="18"/>
    </row>
    <row r="404" spans="1:4" ht="18" customHeight="1">
      <c r="A404" s="18"/>
      <c r="B404" s="18"/>
      <c r="C404" s="20"/>
      <c r="D404" s="18"/>
    </row>
    <row r="405" spans="1:4" ht="18" customHeight="1">
      <c r="A405" s="18"/>
      <c r="B405" s="18"/>
      <c r="C405" s="20"/>
      <c r="D405" s="18"/>
    </row>
    <row r="406" spans="1:4" ht="18" customHeight="1">
      <c r="A406" s="18"/>
      <c r="B406" s="18"/>
      <c r="C406" s="20"/>
      <c r="D406" s="18"/>
    </row>
    <row r="407" spans="1:4" ht="18" customHeight="1">
      <c r="A407" s="18"/>
      <c r="B407" s="18"/>
      <c r="C407" s="20"/>
      <c r="D407" s="18"/>
    </row>
    <row r="408" spans="1:4" ht="18" customHeight="1">
      <c r="A408" s="18"/>
      <c r="B408" s="18"/>
      <c r="C408" s="20"/>
      <c r="D408" s="18"/>
    </row>
    <row r="409" spans="1:4" ht="18" customHeight="1">
      <c r="A409" s="18"/>
      <c r="B409" s="18"/>
      <c r="C409" s="20"/>
      <c r="D409" s="18"/>
    </row>
    <row r="410" spans="1:4" ht="18" customHeight="1">
      <c r="A410" s="18"/>
      <c r="B410" s="18"/>
      <c r="C410" s="20"/>
      <c r="D410" s="18"/>
    </row>
    <row r="411" spans="1:4" ht="18" customHeight="1">
      <c r="A411" s="18"/>
      <c r="B411" s="18"/>
      <c r="C411" s="20"/>
      <c r="D411" s="18"/>
    </row>
    <row r="412" spans="1:4" ht="18" customHeight="1">
      <c r="A412" s="18"/>
      <c r="B412" s="18"/>
      <c r="C412" s="20"/>
      <c r="D412" s="18"/>
    </row>
    <row r="413" spans="1:4" ht="18" customHeight="1">
      <c r="A413" s="18"/>
      <c r="B413" s="18"/>
      <c r="C413" s="20"/>
      <c r="D413" s="18"/>
    </row>
    <row r="414" spans="1:4" ht="18" customHeight="1">
      <c r="A414" s="18"/>
      <c r="B414" s="18"/>
      <c r="C414" s="20"/>
      <c r="D414" s="18"/>
    </row>
    <row r="415" spans="1:4" ht="18" customHeight="1">
      <c r="A415" s="18"/>
      <c r="B415" s="18"/>
      <c r="C415" s="20"/>
      <c r="D415" s="18"/>
    </row>
    <row r="416" spans="1:4" ht="18" customHeight="1">
      <c r="A416" s="18"/>
      <c r="B416" s="18"/>
      <c r="C416" s="20"/>
      <c r="D416" s="18"/>
    </row>
    <row r="417" spans="1:4" ht="18" customHeight="1">
      <c r="A417" s="18"/>
      <c r="B417" s="18"/>
      <c r="C417" s="20"/>
      <c r="D417" s="18"/>
    </row>
    <row r="418" spans="1:4" ht="18" customHeight="1">
      <c r="A418" s="18"/>
      <c r="B418" s="18"/>
      <c r="C418" s="20"/>
      <c r="D418" s="18"/>
    </row>
    <row r="419" spans="1:4" ht="18" customHeight="1">
      <c r="A419" s="18"/>
      <c r="B419" s="18"/>
      <c r="C419" s="20"/>
      <c r="D419" s="18"/>
    </row>
    <row r="420" spans="1:4" ht="18" customHeight="1">
      <c r="A420" s="18"/>
      <c r="B420" s="18"/>
      <c r="C420" s="20"/>
      <c r="D420" s="18"/>
    </row>
    <row r="421" spans="1:4" ht="18" customHeight="1">
      <c r="A421" s="18"/>
      <c r="B421" s="18"/>
      <c r="C421" s="20"/>
      <c r="D421" s="18"/>
    </row>
    <row r="422" spans="1:4" ht="18" customHeight="1">
      <c r="A422" s="18"/>
      <c r="B422" s="18"/>
      <c r="C422" s="20"/>
      <c r="D422" s="18"/>
    </row>
    <row r="423" spans="1:4" ht="18" customHeight="1">
      <c r="A423" s="18"/>
      <c r="B423" s="18"/>
      <c r="C423" s="20"/>
      <c r="D423" s="18"/>
    </row>
    <row r="424" spans="1:4" ht="18" customHeight="1">
      <c r="A424" s="18"/>
      <c r="B424" s="18"/>
      <c r="C424" s="20"/>
      <c r="D424" s="18"/>
    </row>
    <row r="425" spans="1:4" ht="18" customHeight="1">
      <c r="A425" s="18"/>
      <c r="B425" s="18"/>
      <c r="C425" s="20"/>
      <c r="D425" s="18"/>
    </row>
    <row r="426" spans="1:4" ht="18" customHeight="1">
      <c r="A426" s="18"/>
      <c r="B426" s="18"/>
      <c r="C426" s="20"/>
      <c r="D426" s="18"/>
    </row>
    <row r="427" spans="1:4" ht="18" customHeight="1">
      <c r="A427" s="18"/>
      <c r="B427" s="18"/>
      <c r="C427" s="20"/>
      <c r="D427" s="18"/>
    </row>
    <row r="428" spans="1:4" ht="18" customHeight="1">
      <c r="A428" s="18"/>
      <c r="B428" s="18"/>
      <c r="C428" s="20"/>
      <c r="D428" s="18"/>
    </row>
    <row r="429" spans="1:4" ht="18" customHeight="1">
      <c r="A429" s="18"/>
      <c r="B429" s="18"/>
      <c r="C429" s="20"/>
      <c r="D429" s="18"/>
    </row>
    <row r="430" spans="1:4" ht="18" customHeight="1">
      <c r="A430" s="18"/>
      <c r="B430" s="18"/>
      <c r="C430" s="20"/>
      <c r="D430" s="18"/>
    </row>
    <row r="431" spans="1:4" ht="18" customHeight="1">
      <c r="A431" s="18"/>
      <c r="B431" s="18"/>
      <c r="C431" s="20"/>
      <c r="D431" s="18"/>
    </row>
    <row r="432" spans="1:4" ht="18" customHeight="1">
      <c r="A432" s="18"/>
      <c r="B432" s="18"/>
      <c r="C432" s="20"/>
      <c r="D432" s="18"/>
    </row>
    <row r="433" spans="1:4" ht="18" customHeight="1">
      <c r="A433" s="18"/>
      <c r="B433" s="18"/>
      <c r="C433" s="20"/>
      <c r="D433" s="18"/>
    </row>
    <row r="434" spans="1:4" ht="18" customHeight="1">
      <c r="A434" s="18"/>
      <c r="B434" s="18"/>
      <c r="C434" s="20"/>
      <c r="D434" s="18"/>
    </row>
    <row r="435" spans="1:4" ht="18" customHeight="1">
      <c r="A435" s="18"/>
      <c r="B435" s="18"/>
      <c r="C435" s="20"/>
      <c r="D435" s="18"/>
    </row>
    <row r="436" spans="1:4" ht="18" customHeight="1">
      <c r="A436" s="18"/>
      <c r="B436" s="18"/>
      <c r="C436" s="20"/>
      <c r="D436" s="18"/>
    </row>
    <row r="437" spans="1:4" ht="18" customHeight="1">
      <c r="A437" s="18"/>
      <c r="B437" s="18"/>
      <c r="C437" s="20"/>
      <c r="D437" s="18"/>
    </row>
    <row r="438" spans="1:4" ht="18" customHeight="1">
      <c r="A438" s="18"/>
      <c r="B438" s="18"/>
      <c r="C438" s="20"/>
      <c r="D438" s="18"/>
    </row>
    <row r="439" spans="1:4" ht="18" customHeight="1">
      <c r="A439" s="18"/>
      <c r="B439" s="18"/>
      <c r="C439" s="20"/>
      <c r="D439" s="18"/>
    </row>
    <row r="440" spans="1:4" ht="18" customHeight="1">
      <c r="A440" s="18"/>
      <c r="B440" s="18"/>
      <c r="C440" s="20"/>
      <c r="D440" s="18"/>
    </row>
    <row r="441" spans="1:4" ht="18" customHeight="1">
      <c r="A441" s="18"/>
      <c r="B441" s="18"/>
      <c r="C441" s="20"/>
      <c r="D441" s="18"/>
    </row>
    <row r="442" spans="1:4" ht="18" customHeight="1">
      <c r="A442" s="18"/>
      <c r="B442" s="18"/>
      <c r="C442" s="20"/>
      <c r="D442" s="18"/>
    </row>
    <row r="443" spans="1:4" ht="18" customHeight="1">
      <c r="A443" s="18"/>
      <c r="B443" s="18"/>
      <c r="C443" s="20"/>
      <c r="D443" s="18"/>
    </row>
    <row r="444" spans="1:4" ht="18" customHeight="1">
      <c r="A444" s="18"/>
      <c r="B444" s="18"/>
      <c r="C444" s="20"/>
      <c r="D444" s="18"/>
    </row>
    <row r="445" spans="1:4" ht="18" customHeight="1">
      <c r="A445" s="18"/>
      <c r="B445" s="18"/>
      <c r="C445" s="20"/>
      <c r="D445" s="18"/>
    </row>
    <row r="446" spans="1:4" ht="18" customHeight="1">
      <c r="A446" s="18"/>
      <c r="B446" s="18"/>
      <c r="C446" s="20"/>
      <c r="D446" s="18"/>
    </row>
    <row r="447" spans="1:4" ht="18" customHeight="1">
      <c r="A447" s="18"/>
      <c r="B447" s="18"/>
      <c r="C447" s="20"/>
      <c r="D447" s="18"/>
    </row>
    <row r="448" spans="1:4" ht="18" customHeight="1">
      <c r="A448" s="18"/>
      <c r="B448" s="18"/>
      <c r="C448" s="20"/>
      <c r="D448" s="18"/>
    </row>
    <row r="449" spans="1:4" ht="18" customHeight="1">
      <c r="A449" s="18"/>
      <c r="B449" s="18"/>
      <c r="C449" s="20"/>
      <c r="D449" s="18"/>
    </row>
    <row r="450" spans="1:4" ht="18" customHeight="1">
      <c r="A450" s="18"/>
      <c r="B450" s="18"/>
      <c r="C450" s="20"/>
      <c r="D450" s="18"/>
    </row>
    <row r="451" spans="1:4" ht="18" customHeight="1">
      <c r="A451" s="18"/>
      <c r="B451" s="18"/>
      <c r="C451" s="20"/>
      <c r="D451" s="18"/>
    </row>
    <row r="452" spans="1:4" ht="18" customHeight="1">
      <c r="A452" s="18"/>
      <c r="B452" s="18"/>
      <c r="C452" s="20"/>
      <c r="D452" s="18"/>
    </row>
    <row r="453" spans="1:4" ht="18" customHeight="1">
      <c r="A453" s="18"/>
      <c r="B453" s="18"/>
      <c r="C453" s="20"/>
      <c r="D453" s="18"/>
    </row>
    <row r="454" spans="1:4" ht="18" customHeight="1">
      <c r="A454" s="18"/>
      <c r="B454" s="18"/>
      <c r="C454" s="20"/>
      <c r="D454" s="18"/>
    </row>
    <row r="455" spans="1:4" ht="18" customHeight="1">
      <c r="A455" s="18"/>
      <c r="B455" s="18"/>
      <c r="C455" s="20"/>
      <c r="D455" s="18"/>
    </row>
    <row r="456" spans="1:4" ht="18" customHeight="1">
      <c r="A456" s="18"/>
      <c r="B456" s="18"/>
      <c r="C456" s="20"/>
      <c r="D456" s="18"/>
    </row>
    <row r="457" spans="1:4" ht="18" customHeight="1">
      <c r="A457" s="18"/>
      <c r="B457" s="18"/>
      <c r="C457" s="20"/>
      <c r="D457" s="18"/>
    </row>
    <row r="458" spans="1:4" ht="18" customHeight="1">
      <c r="A458" s="18"/>
      <c r="B458" s="18"/>
      <c r="C458" s="20"/>
      <c r="D458" s="18"/>
    </row>
    <row r="459" spans="1:4" ht="18" customHeight="1">
      <c r="A459" s="18"/>
      <c r="B459" s="18"/>
      <c r="C459" s="20"/>
      <c r="D459" s="18"/>
    </row>
    <row r="460" spans="1:4" ht="18" customHeight="1">
      <c r="A460" s="18"/>
      <c r="B460" s="18"/>
      <c r="C460" s="20"/>
      <c r="D460" s="18"/>
    </row>
    <row r="461" spans="1:4" ht="18" customHeight="1">
      <c r="A461" s="18"/>
      <c r="B461" s="18"/>
      <c r="C461" s="20"/>
      <c r="D461" s="18"/>
    </row>
    <row r="462" spans="1:4" ht="18" customHeight="1">
      <c r="A462" s="18"/>
      <c r="B462" s="18"/>
      <c r="C462" s="20"/>
      <c r="D462" s="18"/>
    </row>
    <row r="463" spans="1:4" ht="18" customHeight="1">
      <c r="A463" s="18"/>
      <c r="B463" s="18"/>
      <c r="C463" s="20"/>
      <c r="D463" s="18"/>
    </row>
    <row r="464" spans="1:4" ht="18" customHeight="1">
      <c r="A464" s="18"/>
      <c r="B464" s="18"/>
      <c r="C464" s="20"/>
      <c r="D464" s="18"/>
    </row>
    <row r="465" spans="1:4" ht="18" customHeight="1">
      <c r="A465" s="18"/>
      <c r="B465" s="18"/>
      <c r="C465" s="20"/>
      <c r="D465" s="18"/>
    </row>
    <row r="466" spans="1:4" ht="18" customHeight="1">
      <c r="A466" s="18"/>
      <c r="B466" s="18"/>
      <c r="C466" s="20"/>
      <c r="D466" s="18"/>
    </row>
    <row r="467" spans="1:4" ht="18" customHeight="1">
      <c r="A467" s="18"/>
      <c r="B467" s="18"/>
      <c r="C467" s="20"/>
      <c r="D467" s="18"/>
    </row>
    <row r="468" spans="1:4" ht="18" customHeight="1">
      <c r="A468" s="18"/>
      <c r="B468" s="18"/>
      <c r="C468" s="20"/>
      <c r="D468" s="18"/>
    </row>
    <row r="469" spans="1:4" ht="18" customHeight="1">
      <c r="A469" s="18"/>
      <c r="B469" s="18"/>
      <c r="C469" s="20"/>
      <c r="D469" s="18"/>
    </row>
    <row r="470" spans="1:4" ht="18" customHeight="1">
      <c r="A470" s="18"/>
      <c r="B470" s="18"/>
      <c r="C470" s="20"/>
      <c r="D470" s="18"/>
    </row>
    <row r="471" spans="1:4" ht="18" customHeight="1">
      <c r="A471" s="18"/>
      <c r="B471" s="18"/>
      <c r="C471" s="20"/>
      <c r="D471" s="18"/>
    </row>
    <row r="472" spans="1:4" ht="18" customHeight="1">
      <c r="A472" s="18"/>
      <c r="B472" s="18"/>
      <c r="C472" s="20"/>
      <c r="D472" s="18"/>
    </row>
    <row r="473" spans="1:4" ht="18" customHeight="1">
      <c r="A473" s="18"/>
      <c r="B473" s="18"/>
      <c r="C473" s="20"/>
      <c r="D473" s="18"/>
    </row>
    <row r="474" spans="1:4" ht="18" customHeight="1">
      <c r="A474" s="18"/>
      <c r="B474" s="18"/>
      <c r="C474" s="20"/>
      <c r="D474" s="18"/>
    </row>
    <row r="475" spans="1:4" ht="18" customHeight="1">
      <c r="A475" s="18"/>
      <c r="B475" s="18"/>
      <c r="C475" s="20"/>
      <c r="D475" s="18"/>
    </row>
    <row r="476" spans="1:4" ht="18" customHeight="1">
      <c r="A476" s="18"/>
      <c r="B476" s="18"/>
      <c r="C476" s="20"/>
      <c r="D476" s="18"/>
    </row>
    <row r="477" spans="1:4" ht="18" customHeight="1">
      <c r="A477" s="18"/>
      <c r="B477" s="18"/>
      <c r="C477" s="20"/>
      <c r="D477" s="18"/>
    </row>
    <row r="478" spans="1:4" ht="18" customHeight="1">
      <c r="A478" s="18"/>
      <c r="B478" s="18"/>
      <c r="C478" s="20"/>
      <c r="D478" s="18"/>
    </row>
    <row r="479" spans="1:4" ht="18" customHeight="1">
      <c r="A479" s="18"/>
      <c r="B479" s="18"/>
      <c r="C479" s="20"/>
      <c r="D479" s="18"/>
    </row>
    <row r="480" spans="1:4" ht="18" customHeight="1">
      <c r="A480" s="18"/>
      <c r="B480" s="18"/>
      <c r="C480" s="20"/>
      <c r="D480" s="18"/>
    </row>
    <row r="481" spans="1:4" ht="18" customHeight="1">
      <c r="A481" s="18"/>
      <c r="B481" s="18"/>
      <c r="C481" s="20"/>
      <c r="D481" s="18"/>
    </row>
    <row r="482" spans="1:4" ht="18" customHeight="1">
      <c r="A482" s="18"/>
      <c r="B482" s="18"/>
      <c r="C482" s="20"/>
      <c r="D482" s="18"/>
    </row>
    <row r="483" spans="1:4" ht="18" customHeight="1">
      <c r="A483" s="18"/>
      <c r="B483" s="18"/>
      <c r="C483" s="20"/>
      <c r="D483" s="18"/>
    </row>
    <row r="484" spans="1:4" ht="18" customHeight="1">
      <c r="A484" s="18"/>
      <c r="B484" s="18"/>
      <c r="C484" s="20"/>
      <c r="D484" s="18"/>
    </row>
    <row r="485" spans="1:4" ht="18" customHeight="1">
      <c r="A485" s="18"/>
      <c r="B485" s="18"/>
      <c r="C485" s="20"/>
      <c r="D485" s="18"/>
    </row>
    <row r="486" spans="1:4" ht="18" customHeight="1">
      <c r="A486" s="18"/>
      <c r="B486" s="18"/>
      <c r="C486" s="20"/>
      <c r="D486" s="18"/>
    </row>
    <row r="487" spans="1:4" ht="18" customHeight="1">
      <c r="A487" s="18"/>
      <c r="B487" s="18"/>
      <c r="C487" s="20"/>
      <c r="D487" s="18"/>
    </row>
    <row r="488" spans="1:4" ht="18" customHeight="1">
      <c r="A488" s="18"/>
      <c r="B488" s="18"/>
      <c r="C488" s="20"/>
      <c r="D488" s="18"/>
    </row>
    <row r="489" spans="1:4" ht="18" customHeight="1">
      <c r="A489" s="18"/>
      <c r="B489" s="18"/>
      <c r="C489" s="20"/>
      <c r="D489" s="18"/>
    </row>
    <row r="490" spans="1:4" ht="18" customHeight="1">
      <c r="A490" s="18"/>
      <c r="B490" s="18"/>
      <c r="C490" s="20"/>
      <c r="D490" s="18"/>
    </row>
    <row r="491" spans="1:4" ht="18" customHeight="1">
      <c r="A491" s="18"/>
      <c r="B491" s="18"/>
      <c r="C491" s="20"/>
      <c r="D491" s="18"/>
    </row>
    <row r="492" spans="1:4" ht="18" customHeight="1">
      <c r="A492" s="18"/>
      <c r="B492" s="18"/>
      <c r="C492" s="20"/>
      <c r="D492" s="18"/>
    </row>
    <row r="493" spans="1:4" ht="18" customHeight="1">
      <c r="A493" s="18"/>
      <c r="B493" s="18"/>
      <c r="C493" s="20"/>
      <c r="D493" s="18"/>
    </row>
    <row r="494" spans="1:4" ht="18" customHeight="1">
      <c r="A494" s="18"/>
      <c r="B494" s="18"/>
      <c r="C494" s="20"/>
      <c r="D494" s="18"/>
    </row>
    <row r="495" spans="1:4" ht="18" customHeight="1">
      <c r="A495" s="18"/>
      <c r="B495" s="18"/>
      <c r="C495" s="20"/>
      <c r="D495" s="18"/>
    </row>
    <row r="496" spans="1:4" ht="18" customHeight="1">
      <c r="A496" s="18"/>
      <c r="B496" s="18"/>
      <c r="C496" s="20"/>
      <c r="D496" s="18"/>
    </row>
    <row r="497" spans="1:4" ht="18" customHeight="1">
      <c r="A497" s="18"/>
      <c r="B497" s="18"/>
      <c r="C497" s="20"/>
      <c r="D497" s="18"/>
    </row>
    <row r="498" spans="1:4" ht="18" customHeight="1">
      <c r="A498" s="18"/>
      <c r="B498" s="18"/>
      <c r="C498" s="20"/>
      <c r="D498" s="18"/>
    </row>
    <row r="499" spans="1:4" ht="18" customHeight="1">
      <c r="A499" s="18"/>
      <c r="B499" s="18"/>
      <c r="C499" s="20"/>
      <c r="D499" s="18"/>
    </row>
    <row r="500" spans="1:4" ht="18" customHeight="1">
      <c r="A500" s="18"/>
      <c r="B500" s="18"/>
      <c r="C500" s="20"/>
      <c r="D500" s="18"/>
    </row>
    <row r="501" spans="1:4" ht="18" customHeight="1">
      <c r="A501" s="18"/>
      <c r="B501" s="18"/>
      <c r="C501" s="20"/>
      <c r="D501" s="18"/>
    </row>
    <row r="502" spans="1:4" ht="18" customHeight="1">
      <c r="A502" s="18"/>
      <c r="B502" s="18"/>
      <c r="C502" s="20"/>
      <c r="D502" s="18"/>
    </row>
    <row r="503" spans="1:4" ht="18" customHeight="1">
      <c r="A503" s="18"/>
      <c r="B503" s="18"/>
      <c r="C503" s="20"/>
      <c r="D503" s="18"/>
    </row>
    <row r="504" spans="1:4" ht="18" customHeight="1">
      <c r="A504" s="18"/>
      <c r="B504" s="18"/>
      <c r="C504" s="20"/>
      <c r="D504" s="18"/>
    </row>
    <row r="505" spans="1:4" ht="18" customHeight="1">
      <c r="A505" s="18"/>
      <c r="B505" s="18"/>
      <c r="C505" s="20"/>
      <c r="D505" s="18"/>
    </row>
    <row r="506" spans="1:4" ht="18" customHeight="1">
      <c r="A506" s="18"/>
      <c r="B506" s="18"/>
      <c r="C506" s="20"/>
      <c r="D506" s="18"/>
    </row>
    <row r="507" spans="1:4" ht="18" customHeight="1">
      <c r="A507" s="18"/>
      <c r="B507" s="18"/>
      <c r="C507" s="20"/>
      <c r="D507" s="18"/>
    </row>
    <row r="508" spans="1:4" ht="18" customHeight="1">
      <c r="A508" s="18"/>
      <c r="B508" s="18"/>
      <c r="C508" s="20"/>
      <c r="D508" s="18"/>
    </row>
    <row r="509" spans="1:4" ht="18" customHeight="1">
      <c r="A509" s="18"/>
      <c r="B509" s="18"/>
      <c r="C509" s="20"/>
      <c r="D509" s="18"/>
    </row>
    <row r="510" spans="1:4" ht="18" customHeight="1">
      <c r="A510" s="18"/>
      <c r="B510" s="18"/>
      <c r="C510" s="20"/>
      <c r="D510" s="18"/>
    </row>
    <row r="511" spans="1:4" ht="18" customHeight="1">
      <c r="A511" s="18"/>
      <c r="B511" s="18"/>
      <c r="C511" s="20"/>
      <c r="D511" s="18"/>
    </row>
    <row r="512" spans="1:4" ht="18" customHeight="1">
      <c r="A512" s="18"/>
      <c r="B512" s="18"/>
      <c r="C512" s="20"/>
      <c r="D512" s="18"/>
    </row>
    <row r="513" spans="1:4" ht="18" customHeight="1">
      <c r="A513" s="18"/>
      <c r="B513" s="18"/>
      <c r="C513" s="20"/>
      <c r="D513" s="18"/>
    </row>
    <row r="514" spans="1:4" ht="18" customHeight="1">
      <c r="A514" s="18"/>
      <c r="B514" s="18"/>
      <c r="C514" s="20"/>
      <c r="D514" s="18"/>
    </row>
    <row r="515" spans="1:4" ht="18" customHeight="1">
      <c r="A515" s="18"/>
      <c r="B515" s="18"/>
      <c r="C515" s="20"/>
      <c r="D515" s="18"/>
    </row>
    <row r="516" spans="1:4" ht="18" customHeight="1">
      <c r="A516" s="18"/>
      <c r="B516" s="18"/>
      <c r="C516" s="20"/>
      <c r="D516" s="18"/>
    </row>
    <row r="517" spans="1:4" ht="18" customHeight="1">
      <c r="A517" s="18"/>
      <c r="B517" s="18"/>
      <c r="C517" s="20"/>
      <c r="D517" s="18"/>
    </row>
    <row r="518" spans="1:4" ht="18" customHeight="1">
      <c r="A518" s="18"/>
      <c r="B518" s="18"/>
      <c r="C518" s="20"/>
      <c r="D518" s="18"/>
    </row>
    <row r="519" spans="1:4" ht="18" customHeight="1">
      <c r="A519" s="18"/>
      <c r="B519" s="18"/>
      <c r="C519" s="20"/>
      <c r="D519" s="18"/>
    </row>
    <row r="520" spans="1:4" ht="18" customHeight="1">
      <c r="A520" s="18"/>
      <c r="B520" s="18"/>
      <c r="C520" s="20"/>
      <c r="D520" s="18"/>
    </row>
    <row r="521" spans="1:4" ht="18" customHeight="1">
      <c r="A521" s="18"/>
      <c r="B521" s="18"/>
      <c r="C521" s="20"/>
      <c r="D521" s="18"/>
    </row>
    <row r="522" spans="1:4" ht="18" customHeight="1">
      <c r="A522" s="18"/>
      <c r="B522" s="18"/>
      <c r="C522" s="20"/>
      <c r="D522" s="18"/>
    </row>
    <row r="523" spans="1:4" ht="18" customHeight="1">
      <c r="A523" s="18"/>
      <c r="B523" s="18"/>
      <c r="C523" s="20"/>
      <c r="D523" s="18"/>
    </row>
    <row r="524" spans="1:4" ht="18" customHeight="1">
      <c r="A524" s="18"/>
      <c r="B524" s="18"/>
      <c r="C524" s="20"/>
      <c r="D524" s="18"/>
    </row>
    <row r="525" spans="1:4" ht="18" customHeight="1">
      <c r="A525" s="18"/>
      <c r="B525" s="18"/>
      <c r="C525" s="20"/>
      <c r="D525" s="18"/>
    </row>
    <row r="526" spans="1:4" ht="18" customHeight="1">
      <c r="A526" s="18"/>
      <c r="B526" s="18"/>
      <c r="C526" s="20"/>
      <c r="D526" s="18"/>
    </row>
    <row r="527" spans="1:4" ht="18" customHeight="1">
      <c r="A527" s="18"/>
      <c r="B527" s="18"/>
      <c r="C527" s="20"/>
      <c r="D527" s="18"/>
    </row>
    <row r="528" spans="1:4" ht="18" customHeight="1">
      <c r="A528" s="18"/>
      <c r="B528" s="18"/>
      <c r="C528" s="20"/>
      <c r="D528" s="18"/>
    </row>
    <row r="529" spans="1:4" ht="18" customHeight="1">
      <c r="A529" s="18"/>
      <c r="B529" s="18"/>
      <c r="C529" s="20"/>
      <c r="D529" s="18"/>
    </row>
    <row r="530" spans="1:4" ht="18" customHeight="1">
      <c r="A530" s="18"/>
      <c r="B530" s="18"/>
      <c r="C530" s="20"/>
      <c r="D530" s="18"/>
    </row>
    <row r="531" spans="1:4" ht="18" customHeight="1">
      <c r="A531" s="18"/>
      <c r="B531" s="18"/>
      <c r="C531" s="20"/>
      <c r="D531" s="18"/>
    </row>
    <row r="532" spans="1:4" ht="18" customHeight="1">
      <c r="A532" s="18"/>
      <c r="B532" s="18"/>
      <c r="C532" s="20"/>
      <c r="D532" s="18"/>
    </row>
    <row r="533" spans="1:4" ht="18" customHeight="1">
      <c r="A533" s="18"/>
      <c r="B533" s="18"/>
      <c r="C533" s="20"/>
      <c r="D533" s="18"/>
    </row>
    <row r="534" spans="1:4" ht="18" customHeight="1">
      <c r="A534" s="18"/>
      <c r="B534" s="18"/>
      <c r="C534" s="20"/>
      <c r="D534" s="18"/>
    </row>
    <row r="535" spans="1:4" ht="18" customHeight="1">
      <c r="A535" s="18"/>
      <c r="B535" s="18"/>
      <c r="C535" s="20"/>
      <c r="D535" s="18"/>
    </row>
    <row r="536" spans="1:4" ht="18" customHeight="1">
      <c r="A536" s="18"/>
      <c r="B536" s="18"/>
      <c r="C536" s="20"/>
      <c r="D536" s="18"/>
    </row>
    <row r="537" spans="1:4" ht="18" customHeight="1">
      <c r="A537" s="18"/>
      <c r="B537" s="18"/>
      <c r="C537" s="20"/>
      <c r="D537" s="18"/>
    </row>
    <row r="538" spans="1:4" ht="18" customHeight="1">
      <c r="A538" s="18"/>
      <c r="B538" s="18"/>
      <c r="C538" s="20"/>
      <c r="D538" s="18"/>
    </row>
    <row r="539" spans="1:4" ht="18" customHeight="1">
      <c r="A539" s="18"/>
      <c r="B539" s="18"/>
      <c r="C539" s="20"/>
      <c r="D539" s="18"/>
    </row>
    <row r="540" spans="1:4" ht="18" customHeight="1">
      <c r="A540" s="18"/>
      <c r="B540" s="18"/>
      <c r="C540" s="20"/>
      <c r="D540" s="18"/>
    </row>
    <row r="541" spans="1:4" ht="18" customHeight="1">
      <c r="A541" s="18"/>
      <c r="B541" s="18"/>
      <c r="C541" s="20"/>
      <c r="D541" s="18"/>
    </row>
    <row r="542" spans="1:4" ht="18" customHeight="1">
      <c r="A542" s="18"/>
      <c r="B542" s="18"/>
      <c r="C542" s="20"/>
      <c r="D542" s="18"/>
    </row>
    <row r="543" spans="1:4" ht="18" customHeight="1">
      <c r="A543" s="18"/>
      <c r="B543" s="18"/>
      <c r="C543" s="20"/>
      <c r="D543" s="18"/>
    </row>
    <row r="544" spans="1:4" ht="18" customHeight="1">
      <c r="A544" s="18"/>
      <c r="B544" s="18"/>
      <c r="C544" s="20"/>
      <c r="D544" s="18"/>
    </row>
    <row r="545" spans="1:4" ht="18" customHeight="1">
      <c r="A545" s="18"/>
      <c r="B545" s="18"/>
      <c r="C545" s="20"/>
      <c r="D545" s="18"/>
    </row>
    <row r="546" spans="1:4" ht="18" customHeight="1">
      <c r="A546" s="18"/>
      <c r="B546" s="18"/>
      <c r="C546" s="20"/>
      <c r="D546" s="18"/>
    </row>
    <row r="547" spans="1:4" ht="18" customHeight="1">
      <c r="A547" s="18"/>
      <c r="B547" s="18"/>
      <c r="C547" s="20"/>
      <c r="D547" s="18"/>
    </row>
    <row r="548" spans="1:4" ht="18" customHeight="1">
      <c r="A548" s="18"/>
      <c r="B548" s="18"/>
      <c r="C548" s="20"/>
      <c r="D548" s="18"/>
    </row>
    <row r="549" spans="1:4" ht="18" customHeight="1">
      <c r="A549" s="18"/>
      <c r="B549" s="18"/>
      <c r="C549" s="20"/>
      <c r="D549" s="18"/>
    </row>
    <row r="550" spans="1:4" ht="18" customHeight="1">
      <c r="A550" s="18"/>
      <c r="B550" s="18"/>
      <c r="C550" s="20"/>
      <c r="D550" s="18"/>
    </row>
    <row r="551" spans="1:4" ht="18" customHeight="1">
      <c r="A551" s="18"/>
      <c r="B551" s="18"/>
      <c r="C551" s="20"/>
      <c r="D551" s="18"/>
    </row>
    <row r="552" spans="1:4" ht="18" customHeight="1">
      <c r="A552" s="18"/>
      <c r="B552" s="18"/>
      <c r="C552" s="20"/>
      <c r="D552" s="18"/>
    </row>
    <row r="553" spans="1:4" ht="18" customHeight="1">
      <c r="A553" s="18"/>
      <c r="B553" s="18"/>
      <c r="C553" s="20"/>
      <c r="D553" s="18"/>
    </row>
    <row r="554" spans="1:4" ht="18" customHeight="1">
      <c r="A554" s="18"/>
      <c r="B554" s="18"/>
      <c r="C554" s="20"/>
      <c r="D554" s="18"/>
    </row>
    <row r="555" spans="1:4" ht="18" customHeight="1">
      <c r="A555" s="18"/>
      <c r="B555" s="18"/>
      <c r="C555" s="20"/>
      <c r="D555" s="18"/>
    </row>
    <row r="556" spans="1:4" ht="18" customHeight="1">
      <c r="A556" s="18"/>
      <c r="B556" s="18"/>
      <c r="C556" s="20"/>
      <c r="D556" s="18"/>
    </row>
    <row r="557" spans="1:4" ht="18" customHeight="1">
      <c r="A557" s="18"/>
      <c r="B557" s="18"/>
      <c r="C557" s="20"/>
      <c r="D557" s="18"/>
    </row>
    <row r="558" spans="1:4" ht="18" customHeight="1">
      <c r="A558" s="18"/>
      <c r="B558" s="18"/>
      <c r="C558" s="20"/>
      <c r="D558" s="18"/>
    </row>
    <row r="559" spans="1:4" ht="18" customHeight="1">
      <c r="A559" s="18"/>
      <c r="B559" s="18"/>
      <c r="C559" s="20"/>
      <c r="D559" s="18"/>
    </row>
    <row r="560" spans="1:4" ht="18" customHeight="1">
      <c r="A560" s="18"/>
      <c r="B560" s="18"/>
      <c r="C560" s="20"/>
      <c r="D560" s="18"/>
    </row>
    <row r="561" spans="1:4" ht="18" customHeight="1">
      <c r="A561" s="18"/>
      <c r="B561" s="18"/>
      <c r="C561" s="20"/>
      <c r="D561" s="18"/>
    </row>
    <row r="562" spans="1:4" ht="18" customHeight="1">
      <c r="A562" s="18"/>
      <c r="B562" s="18"/>
      <c r="C562" s="20"/>
      <c r="D562" s="18"/>
    </row>
    <row r="563" spans="1:4" ht="18" customHeight="1">
      <c r="A563" s="18"/>
      <c r="B563" s="18"/>
      <c r="C563" s="20"/>
      <c r="D563" s="18"/>
    </row>
    <row r="564" spans="1:4" ht="18" customHeight="1">
      <c r="A564" s="18"/>
      <c r="B564" s="18"/>
      <c r="C564" s="20"/>
      <c r="D564" s="18"/>
    </row>
    <row r="565" spans="1:4" ht="18" customHeight="1">
      <c r="A565" s="18"/>
      <c r="B565" s="18"/>
      <c r="C565" s="20"/>
      <c r="D565" s="18"/>
    </row>
    <row r="566" spans="1:4" ht="18" customHeight="1">
      <c r="A566" s="18"/>
      <c r="B566" s="18"/>
      <c r="C566" s="20"/>
      <c r="D566" s="18"/>
    </row>
    <row r="567" spans="1:4" ht="18" customHeight="1">
      <c r="A567" s="18"/>
      <c r="B567" s="18"/>
      <c r="C567" s="20"/>
      <c r="D567" s="18"/>
    </row>
    <row r="568" spans="1:4" ht="18" customHeight="1">
      <c r="A568" s="18"/>
      <c r="B568" s="18"/>
      <c r="C568" s="20"/>
      <c r="D568" s="18"/>
    </row>
    <row r="569" spans="1:4" ht="18" customHeight="1">
      <c r="A569" s="18"/>
      <c r="B569" s="18"/>
      <c r="C569" s="20"/>
      <c r="D569" s="18"/>
    </row>
    <row r="570" spans="1:4" ht="18" customHeight="1">
      <c r="A570" s="18"/>
      <c r="B570" s="18"/>
      <c r="C570" s="20"/>
      <c r="D570" s="18"/>
    </row>
    <row r="571" spans="1:4" ht="18" customHeight="1">
      <c r="A571" s="18"/>
      <c r="B571" s="18"/>
      <c r="C571" s="20"/>
      <c r="D571" s="18"/>
    </row>
    <row r="572" spans="1:4" ht="18" customHeight="1">
      <c r="A572" s="18"/>
      <c r="B572" s="18"/>
      <c r="C572" s="20"/>
      <c r="D572" s="18"/>
    </row>
    <row r="573" spans="1:4" ht="18" customHeight="1">
      <c r="A573" s="18"/>
      <c r="B573" s="18"/>
      <c r="C573" s="20"/>
      <c r="D573" s="18"/>
    </row>
    <row r="574" spans="1:4" ht="18" customHeight="1">
      <c r="A574" s="18"/>
      <c r="B574" s="18"/>
      <c r="C574" s="20"/>
      <c r="D574" s="18"/>
    </row>
    <row r="575" spans="1:4" ht="18" customHeight="1">
      <c r="A575" s="18"/>
      <c r="B575" s="18"/>
      <c r="C575" s="20"/>
      <c r="D575" s="18"/>
    </row>
    <row r="576" spans="1:4" ht="18" customHeight="1">
      <c r="A576" s="18"/>
      <c r="B576" s="18"/>
      <c r="C576" s="20"/>
      <c r="D576" s="18"/>
    </row>
    <row r="577" spans="1:4" ht="18" customHeight="1">
      <c r="A577" s="18"/>
      <c r="B577" s="18"/>
      <c r="C577" s="20"/>
      <c r="D577" s="18"/>
    </row>
    <row r="578" spans="1:4" ht="18" customHeight="1">
      <c r="A578" s="18"/>
      <c r="B578" s="18"/>
      <c r="C578" s="20"/>
      <c r="D578" s="18"/>
    </row>
    <row r="579" spans="1:4" ht="18" customHeight="1">
      <c r="A579" s="18"/>
      <c r="B579" s="18"/>
      <c r="C579" s="20"/>
      <c r="D579" s="18"/>
    </row>
    <row r="580" spans="1:4" ht="18" customHeight="1">
      <c r="A580" s="18"/>
      <c r="B580" s="18"/>
      <c r="C580" s="20"/>
      <c r="D580" s="18"/>
    </row>
    <row r="581" spans="1:4" ht="18" customHeight="1">
      <c r="A581" s="18"/>
      <c r="B581" s="18"/>
      <c r="C581" s="20"/>
      <c r="D581" s="18"/>
    </row>
    <row r="582" spans="1:4" ht="18" customHeight="1">
      <c r="A582" s="18"/>
      <c r="B582" s="18"/>
      <c r="C582" s="20"/>
      <c r="D582" s="18"/>
    </row>
    <row r="583" spans="1:4" ht="18" customHeight="1">
      <c r="A583" s="18"/>
      <c r="B583" s="18"/>
      <c r="C583" s="20"/>
      <c r="D583" s="18"/>
    </row>
    <row r="584" spans="1:4" ht="18" customHeight="1">
      <c r="A584" s="18"/>
      <c r="B584" s="18"/>
      <c r="C584" s="20"/>
      <c r="D584" s="18"/>
    </row>
    <row r="585" spans="1:4" ht="18" customHeight="1">
      <c r="A585" s="18"/>
      <c r="B585" s="18"/>
      <c r="C585" s="20"/>
      <c r="D585" s="18"/>
    </row>
    <row r="586" spans="1:4" ht="18" customHeight="1">
      <c r="A586" s="18"/>
      <c r="B586" s="18"/>
      <c r="C586" s="20"/>
      <c r="D586" s="18"/>
    </row>
    <row r="587" spans="1:4" ht="18" customHeight="1">
      <c r="A587" s="18"/>
      <c r="B587" s="18"/>
      <c r="C587" s="20"/>
      <c r="D587" s="18"/>
    </row>
    <row r="588" spans="1:4" ht="18" customHeight="1">
      <c r="A588" s="18"/>
      <c r="B588" s="18"/>
      <c r="C588" s="20"/>
      <c r="D588" s="18"/>
    </row>
    <row r="589" spans="1:4" ht="18" customHeight="1">
      <c r="A589" s="18"/>
      <c r="B589" s="18"/>
      <c r="C589" s="20"/>
      <c r="D589" s="18"/>
    </row>
    <row r="590" spans="1:4" ht="18" customHeight="1">
      <c r="A590" s="18"/>
      <c r="B590" s="18"/>
      <c r="C590" s="20"/>
      <c r="D590" s="18"/>
    </row>
    <row r="591" spans="1:4" ht="18" customHeight="1">
      <c r="A591" s="18"/>
      <c r="B591" s="18"/>
      <c r="C591" s="20"/>
      <c r="D591" s="18"/>
    </row>
    <row r="592" spans="1:4" ht="18" customHeight="1">
      <c r="A592" s="18"/>
      <c r="B592" s="18"/>
      <c r="C592" s="20"/>
      <c r="D592" s="18"/>
    </row>
    <row r="593" spans="1:4" ht="18" customHeight="1">
      <c r="A593" s="18"/>
      <c r="B593" s="18"/>
      <c r="C593" s="20"/>
      <c r="D593" s="18"/>
    </row>
    <row r="594" spans="1:4" ht="18" customHeight="1">
      <c r="A594" s="18"/>
      <c r="B594" s="18"/>
      <c r="C594" s="20"/>
      <c r="D594" s="18"/>
    </row>
    <row r="595" spans="1:4" ht="18" customHeight="1">
      <c r="A595" s="18"/>
      <c r="B595" s="18"/>
      <c r="C595" s="20"/>
      <c r="D595" s="18"/>
    </row>
    <row r="596" spans="1:4" ht="18" customHeight="1">
      <c r="A596" s="18"/>
      <c r="B596" s="18"/>
      <c r="C596" s="20"/>
      <c r="D596" s="18"/>
    </row>
    <row r="597" spans="1:4" ht="18" customHeight="1">
      <c r="A597" s="18"/>
      <c r="B597" s="18"/>
      <c r="C597" s="20"/>
      <c r="D597" s="18"/>
    </row>
    <row r="598" spans="1:4" ht="18" customHeight="1">
      <c r="A598" s="18"/>
      <c r="B598" s="18"/>
      <c r="C598" s="20"/>
      <c r="D598" s="18"/>
    </row>
    <row r="599" spans="1:4" ht="18" customHeight="1">
      <c r="A599" s="18"/>
      <c r="B599" s="18"/>
      <c r="C599" s="20"/>
      <c r="D599" s="18"/>
    </row>
    <row r="600" spans="1:4" ht="18" customHeight="1">
      <c r="A600" s="18"/>
      <c r="B600" s="18"/>
      <c r="C600" s="20"/>
      <c r="D600" s="18"/>
    </row>
    <row r="601" spans="1:4" ht="18" customHeight="1">
      <c r="A601" s="18"/>
      <c r="B601" s="18"/>
      <c r="C601" s="20"/>
      <c r="D601" s="18"/>
    </row>
    <row r="602" spans="1:4" ht="18" customHeight="1">
      <c r="A602" s="18"/>
      <c r="B602" s="18"/>
      <c r="C602" s="20"/>
      <c r="D602" s="18"/>
    </row>
    <row r="603" spans="1:4" ht="18" customHeight="1">
      <c r="A603" s="18"/>
      <c r="B603" s="18"/>
      <c r="C603" s="20"/>
      <c r="D603" s="18"/>
    </row>
    <row r="604" spans="1:4" ht="18" customHeight="1">
      <c r="A604" s="18"/>
      <c r="B604" s="18"/>
      <c r="C604" s="20"/>
      <c r="D604" s="18"/>
    </row>
    <row r="605" spans="1:4" ht="18" customHeight="1">
      <c r="A605" s="18"/>
      <c r="B605" s="18"/>
      <c r="C605" s="20"/>
      <c r="D605" s="18"/>
    </row>
    <row r="606" spans="1:4" ht="18" customHeight="1">
      <c r="A606" s="18"/>
      <c r="B606" s="18"/>
      <c r="C606" s="20"/>
      <c r="D606" s="18"/>
    </row>
    <row r="607" spans="1:4" ht="18" customHeight="1">
      <c r="A607" s="18"/>
      <c r="B607" s="18"/>
      <c r="C607" s="20"/>
      <c r="D607" s="18"/>
    </row>
    <row r="608" spans="1:4" ht="18" customHeight="1">
      <c r="A608" s="18"/>
      <c r="B608" s="18"/>
      <c r="C608" s="20"/>
      <c r="D608" s="18"/>
    </row>
    <row r="609" spans="1:4" ht="18" customHeight="1">
      <c r="A609" s="18"/>
      <c r="B609" s="18"/>
      <c r="C609" s="20"/>
      <c r="D609" s="18"/>
    </row>
    <row r="610" spans="1:4" ht="18" customHeight="1">
      <c r="A610" s="18"/>
      <c r="B610" s="18"/>
      <c r="C610" s="20"/>
      <c r="D610" s="18"/>
    </row>
    <row r="611" spans="1:4" ht="18" customHeight="1">
      <c r="A611" s="18"/>
      <c r="B611" s="18"/>
      <c r="C611" s="20"/>
      <c r="D611" s="18"/>
    </row>
    <row r="612" spans="1:4" ht="18" customHeight="1">
      <c r="A612" s="18"/>
      <c r="B612" s="18"/>
      <c r="C612" s="20"/>
      <c r="D612" s="18"/>
    </row>
    <row r="613" spans="1:4" ht="18" customHeight="1">
      <c r="A613" s="18"/>
      <c r="B613" s="18"/>
      <c r="C613" s="20"/>
      <c r="D613" s="18"/>
    </row>
    <row r="614" spans="1:4" ht="18" customHeight="1">
      <c r="A614" s="18"/>
      <c r="B614" s="18"/>
      <c r="C614" s="20"/>
      <c r="D614" s="18"/>
    </row>
    <row r="615" spans="1:4" ht="18" customHeight="1">
      <c r="A615" s="18"/>
      <c r="B615" s="18"/>
      <c r="C615" s="20"/>
      <c r="D615" s="18"/>
    </row>
    <row r="616" spans="1:4" ht="18" customHeight="1">
      <c r="A616" s="18"/>
      <c r="B616" s="18"/>
      <c r="C616" s="20"/>
      <c r="D616" s="18"/>
    </row>
    <row r="617" spans="1:4" ht="18" customHeight="1">
      <c r="A617" s="18"/>
      <c r="B617" s="18"/>
      <c r="C617" s="20"/>
      <c r="D617" s="18"/>
    </row>
    <row r="618" spans="1:4" ht="18" customHeight="1">
      <c r="A618" s="18"/>
      <c r="B618" s="18"/>
      <c r="C618" s="20"/>
      <c r="D618" s="18"/>
    </row>
    <row r="619" spans="1:4" ht="18" customHeight="1">
      <c r="A619" s="18"/>
      <c r="B619" s="18"/>
      <c r="C619" s="20"/>
      <c r="D619" s="18"/>
    </row>
    <row r="620" spans="1:4" ht="18" customHeight="1">
      <c r="A620" s="18"/>
      <c r="B620" s="18"/>
      <c r="C620" s="20"/>
      <c r="D620" s="18"/>
    </row>
    <row r="621" spans="1:4" ht="18" customHeight="1">
      <c r="A621" s="18"/>
      <c r="B621" s="18"/>
      <c r="C621" s="20"/>
      <c r="D621" s="18"/>
    </row>
    <row r="622" spans="1:4" ht="18" customHeight="1">
      <c r="A622" s="18"/>
      <c r="B622" s="18"/>
      <c r="C622" s="20"/>
      <c r="D622" s="18"/>
    </row>
    <row r="623" spans="1:4" ht="18" customHeight="1">
      <c r="A623" s="18"/>
      <c r="B623" s="18"/>
      <c r="C623" s="20"/>
      <c r="D623" s="18"/>
    </row>
    <row r="624" spans="1:4" ht="18" customHeight="1">
      <c r="A624" s="18"/>
      <c r="B624" s="18"/>
      <c r="C624" s="20"/>
      <c r="D624" s="18"/>
    </row>
    <row r="625" spans="1:4" ht="18" customHeight="1">
      <c r="A625" s="18"/>
      <c r="B625" s="18"/>
      <c r="C625" s="20"/>
      <c r="D625" s="18"/>
    </row>
    <row r="626" spans="1:4" ht="18" customHeight="1">
      <c r="A626" s="18"/>
      <c r="B626" s="18"/>
      <c r="C626" s="20"/>
      <c r="D626" s="18"/>
    </row>
    <row r="627" spans="1:4" ht="18" customHeight="1">
      <c r="A627" s="18"/>
      <c r="B627" s="18"/>
      <c r="C627" s="20"/>
      <c r="D627" s="18"/>
    </row>
    <row r="628" spans="1:4" ht="18" customHeight="1">
      <c r="A628" s="18"/>
      <c r="B628" s="18"/>
      <c r="C628" s="20"/>
      <c r="D628" s="18"/>
    </row>
    <row r="629" spans="1:4" ht="18" customHeight="1">
      <c r="A629" s="18"/>
      <c r="B629" s="18"/>
      <c r="C629" s="20"/>
      <c r="D629" s="18"/>
    </row>
    <row r="630" spans="1:4" ht="18" customHeight="1">
      <c r="A630" s="18"/>
      <c r="B630" s="18"/>
      <c r="C630" s="20"/>
      <c r="D630" s="18"/>
    </row>
    <row r="631" spans="1:4" ht="18" customHeight="1">
      <c r="A631" s="18"/>
      <c r="B631" s="18"/>
      <c r="C631" s="20"/>
      <c r="D631" s="18"/>
    </row>
    <row r="632" spans="1:4" ht="18" customHeight="1">
      <c r="A632" s="18"/>
      <c r="B632" s="18"/>
      <c r="C632" s="20"/>
      <c r="D632" s="18"/>
    </row>
    <row r="633" spans="1:4" ht="18" customHeight="1">
      <c r="A633" s="18"/>
      <c r="B633" s="18"/>
      <c r="C633" s="20"/>
      <c r="D633" s="18"/>
    </row>
    <row r="634" spans="1:4" ht="18" customHeight="1">
      <c r="A634" s="18"/>
      <c r="B634" s="18"/>
      <c r="C634" s="20"/>
      <c r="D634" s="18"/>
    </row>
    <row r="635" spans="1:4" ht="18" customHeight="1">
      <c r="A635" s="18"/>
      <c r="B635" s="18"/>
      <c r="C635" s="20"/>
      <c r="D635" s="18"/>
    </row>
    <row r="636" spans="1:4" ht="18" customHeight="1">
      <c r="A636" s="18"/>
      <c r="B636" s="18"/>
      <c r="C636" s="20"/>
      <c r="D636" s="18"/>
    </row>
    <row r="637" spans="1:4" ht="18" customHeight="1">
      <c r="A637" s="18"/>
      <c r="B637" s="18"/>
      <c r="C637" s="20"/>
      <c r="D637" s="18"/>
    </row>
    <row r="638" spans="1:4" ht="18" customHeight="1">
      <c r="A638" s="18"/>
      <c r="B638" s="18"/>
      <c r="C638" s="20"/>
      <c r="D638" s="18"/>
    </row>
    <row r="639" spans="1:4" ht="18" customHeight="1">
      <c r="A639" s="18"/>
      <c r="B639" s="18"/>
      <c r="C639" s="20"/>
      <c r="D639" s="18"/>
    </row>
    <row r="640" spans="1:4" ht="18" customHeight="1">
      <c r="A640" s="18"/>
      <c r="B640" s="18"/>
      <c r="C640" s="20"/>
      <c r="D640" s="18"/>
    </row>
    <row r="641" spans="1:4" ht="18" customHeight="1">
      <c r="A641" s="18"/>
      <c r="B641" s="18"/>
      <c r="C641" s="20"/>
      <c r="D641" s="18"/>
    </row>
    <row r="642" spans="1:4" ht="18" customHeight="1">
      <c r="A642" s="18"/>
      <c r="B642" s="18"/>
      <c r="C642" s="20"/>
      <c r="D642" s="18"/>
    </row>
    <row r="643" spans="1:4" ht="18" customHeight="1">
      <c r="A643" s="18"/>
      <c r="B643" s="18"/>
      <c r="C643" s="20"/>
      <c r="D643" s="18"/>
    </row>
    <row r="644" spans="1:4" ht="18" customHeight="1">
      <c r="A644" s="18"/>
      <c r="B644" s="18"/>
      <c r="C644" s="20"/>
      <c r="D644" s="18"/>
    </row>
    <row r="645" spans="1:4" ht="18" customHeight="1">
      <c r="A645" s="18"/>
      <c r="B645" s="18"/>
      <c r="C645" s="20"/>
      <c r="D645" s="18"/>
    </row>
    <row r="646" spans="1:4" ht="18" customHeight="1">
      <c r="A646" s="18"/>
      <c r="B646" s="18"/>
      <c r="C646" s="20"/>
      <c r="D646" s="18"/>
    </row>
    <row r="647" spans="1:4" ht="18" customHeight="1">
      <c r="A647" s="18"/>
      <c r="B647" s="18"/>
      <c r="C647" s="20"/>
      <c r="D647" s="18"/>
    </row>
    <row r="648" spans="1:4" ht="18" customHeight="1">
      <c r="A648" s="18"/>
      <c r="B648" s="18"/>
      <c r="C648" s="20"/>
      <c r="D648" s="18"/>
    </row>
    <row r="649" spans="1:4" ht="18" customHeight="1">
      <c r="A649" s="18"/>
      <c r="B649" s="18"/>
      <c r="C649" s="20"/>
      <c r="D649" s="18"/>
    </row>
    <row r="650" spans="1:4" ht="18" customHeight="1">
      <c r="A650" s="18"/>
      <c r="B650" s="18"/>
      <c r="C650" s="20"/>
      <c r="D650" s="18"/>
    </row>
    <row r="651" spans="1:4" ht="18" customHeight="1">
      <c r="A651" s="18"/>
      <c r="B651" s="18"/>
      <c r="C651" s="20"/>
      <c r="D651" s="18"/>
    </row>
    <row r="652" spans="1:4" ht="18" customHeight="1">
      <c r="A652" s="18"/>
      <c r="B652" s="18"/>
      <c r="C652" s="20"/>
      <c r="D652" s="18"/>
    </row>
    <row r="653" spans="1:4" ht="18" customHeight="1">
      <c r="A653" s="18"/>
      <c r="B653" s="18"/>
      <c r="C653" s="20"/>
      <c r="D653" s="18"/>
    </row>
    <row r="654" spans="1:4" ht="18" customHeight="1">
      <c r="A654" s="18"/>
      <c r="B654" s="18"/>
      <c r="C654" s="20"/>
      <c r="D654" s="18"/>
    </row>
    <row r="655" spans="1:4" ht="18" customHeight="1">
      <c r="A655" s="18"/>
      <c r="B655" s="18"/>
      <c r="C655" s="20"/>
      <c r="D655" s="18"/>
    </row>
    <row r="656" spans="1:4" ht="18" customHeight="1">
      <c r="A656" s="18"/>
      <c r="B656" s="18"/>
      <c r="C656" s="20"/>
      <c r="D656" s="18"/>
    </row>
    <row r="657" spans="1:4" ht="18" customHeight="1">
      <c r="A657" s="18"/>
      <c r="B657" s="18"/>
      <c r="C657" s="20"/>
      <c r="D657" s="18"/>
    </row>
    <row r="658" spans="1:4" ht="18" customHeight="1">
      <c r="A658" s="18"/>
      <c r="B658" s="18"/>
      <c r="C658" s="20"/>
      <c r="D658" s="18"/>
    </row>
    <row r="659" spans="1:4" ht="18" customHeight="1">
      <c r="A659" s="18"/>
      <c r="B659" s="18"/>
      <c r="C659" s="20"/>
      <c r="D659" s="18"/>
    </row>
    <row r="660" spans="1:4" ht="18" customHeight="1">
      <c r="A660" s="18"/>
      <c r="B660" s="18"/>
      <c r="C660" s="20"/>
      <c r="D660" s="18"/>
    </row>
    <row r="661" spans="1:4" ht="18" customHeight="1">
      <c r="A661" s="18"/>
      <c r="B661" s="18"/>
      <c r="C661" s="20"/>
      <c r="D661" s="18"/>
    </row>
    <row r="662" spans="1:4" ht="18" customHeight="1">
      <c r="A662" s="18"/>
      <c r="B662" s="18"/>
      <c r="C662" s="20"/>
      <c r="D662" s="18"/>
    </row>
    <row r="663" spans="1:4" ht="18" customHeight="1">
      <c r="A663" s="18"/>
      <c r="B663" s="18"/>
      <c r="C663" s="20"/>
      <c r="D663" s="18"/>
    </row>
    <row r="664" spans="1:4" ht="18" customHeight="1">
      <c r="A664" s="18"/>
      <c r="B664" s="18"/>
      <c r="C664" s="20"/>
      <c r="D664" s="18"/>
    </row>
    <row r="665" spans="1:4" ht="18" customHeight="1">
      <c r="A665" s="18"/>
      <c r="B665" s="18"/>
      <c r="C665" s="20"/>
      <c r="D665" s="18"/>
    </row>
    <row r="666" spans="1:4" ht="18" customHeight="1">
      <c r="A666" s="18"/>
      <c r="B666" s="18"/>
      <c r="C666" s="20"/>
      <c r="D666" s="18"/>
    </row>
    <row r="667" spans="1:4" ht="18" customHeight="1">
      <c r="A667" s="18"/>
      <c r="B667" s="18"/>
      <c r="C667" s="20"/>
      <c r="D667" s="18"/>
    </row>
    <row r="668" spans="1:4" ht="18" customHeight="1">
      <c r="A668" s="18"/>
      <c r="B668" s="18"/>
      <c r="C668" s="20"/>
      <c r="D668" s="18"/>
    </row>
    <row r="669" spans="1:4" ht="18" customHeight="1">
      <c r="A669" s="18"/>
      <c r="B669" s="18"/>
      <c r="C669" s="20"/>
      <c r="D669" s="18"/>
    </row>
    <row r="670" spans="1:4" ht="18" customHeight="1">
      <c r="A670" s="18"/>
      <c r="B670" s="18"/>
      <c r="C670" s="20"/>
      <c r="D670" s="18"/>
    </row>
    <row r="671" spans="1:4" ht="18" customHeight="1">
      <c r="A671" s="18"/>
      <c r="B671" s="18"/>
      <c r="C671" s="20"/>
      <c r="D671" s="18"/>
    </row>
    <row r="672" spans="1:4" ht="18" customHeight="1">
      <c r="A672" s="18"/>
      <c r="B672" s="18"/>
      <c r="C672" s="20"/>
      <c r="D672" s="18"/>
    </row>
    <row r="673" spans="1:4" ht="18" customHeight="1">
      <c r="A673" s="18"/>
      <c r="B673" s="18"/>
      <c r="C673" s="20"/>
      <c r="D673" s="18"/>
    </row>
    <row r="674" spans="1:4" ht="18" customHeight="1">
      <c r="A674" s="18"/>
      <c r="B674" s="18"/>
      <c r="C674" s="20"/>
      <c r="D674" s="18"/>
    </row>
    <row r="675" spans="1:4" ht="18" customHeight="1">
      <c r="A675" s="18"/>
      <c r="B675" s="18"/>
      <c r="C675" s="20"/>
      <c r="D675" s="18"/>
    </row>
    <row r="676" spans="1:4" ht="18" customHeight="1">
      <c r="A676" s="18"/>
      <c r="B676" s="18"/>
      <c r="C676" s="20"/>
      <c r="D676" s="18"/>
    </row>
    <row r="677" spans="1:4" ht="18" customHeight="1">
      <c r="A677" s="18"/>
      <c r="B677" s="18"/>
      <c r="C677" s="20"/>
      <c r="D677" s="18"/>
    </row>
    <row r="678" spans="1:4" ht="18" customHeight="1">
      <c r="A678" s="18"/>
      <c r="B678" s="18"/>
      <c r="C678" s="20"/>
      <c r="D678" s="18"/>
    </row>
    <row r="679" spans="1:4" ht="18" customHeight="1">
      <c r="A679" s="18"/>
      <c r="B679" s="18"/>
      <c r="C679" s="20"/>
      <c r="D679" s="18"/>
    </row>
    <row r="680" spans="1:4" ht="18" customHeight="1">
      <c r="A680" s="18"/>
      <c r="B680" s="18"/>
      <c r="C680" s="20"/>
      <c r="D680" s="18"/>
    </row>
    <row r="681" spans="1:4" ht="18" customHeight="1">
      <c r="A681" s="18"/>
      <c r="B681" s="18"/>
      <c r="C681" s="20"/>
      <c r="D681" s="18"/>
    </row>
    <row r="682" spans="1:4" ht="18" customHeight="1">
      <c r="A682" s="18"/>
      <c r="B682" s="18"/>
      <c r="C682" s="20"/>
      <c r="D682" s="18"/>
    </row>
    <row r="683" spans="1:4" ht="18" customHeight="1">
      <c r="A683" s="18"/>
      <c r="B683" s="18"/>
      <c r="C683" s="20"/>
      <c r="D683" s="18"/>
    </row>
    <row r="684" spans="1:4" ht="18" customHeight="1">
      <c r="A684" s="18"/>
      <c r="B684" s="18"/>
      <c r="C684" s="20"/>
      <c r="D684" s="18"/>
    </row>
    <row r="685" spans="1:4" ht="18" customHeight="1">
      <c r="A685" s="18"/>
      <c r="B685" s="18"/>
      <c r="C685" s="20"/>
      <c r="D685" s="18"/>
    </row>
    <row r="686" spans="1:4" ht="18" customHeight="1">
      <c r="A686" s="18"/>
      <c r="B686" s="18"/>
      <c r="C686" s="20"/>
      <c r="D686" s="18"/>
    </row>
    <row r="687" spans="1:4" ht="18" customHeight="1">
      <c r="A687" s="18"/>
      <c r="B687" s="18"/>
      <c r="C687" s="20"/>
      <c r="D687" s="18"/>
    </row>
    <row r="688" spans="1:4" ht="18" customHeight="1">
      <c r="A688" s="18"/>
      <c r="B688" s="18"/>
      <c r="C688" s="20"/>
      <c r="D688" s="18"/>
    </row>
    <row r="689" spans="1:4" ht="18" customHeight="1">
      <c r="A689" s="18"/>
      <c r="B689" s="18"/>
      <c r="C689" s="20"/>
      <c r="D689" s="18"/>
    </row>
    <row r="690" spans="1:4" ht="18" customHeight="1">
      <c r="A690" s="18"/>
      <c r="B690" s="18"/>
      <c r="C690" s="20"/>
      <c r="D690" s="18"/>
    </row>
    <row r="691" spans="1:4" ht="18" customHeight="1">
      <c r="A691" s="18"/>
      <c r="B691" s="18"/>
      <c r="C691" s="20"/>
      <c r="D691" s="18"/>
    </row>
    <row r="692" spans="1:4" ht="18" customHeight="1">
      <c r="A692" s="18"/>
      <c r="B692" s="18"/>
      <c r="C692" s="20"/>
      <c r="D692" s="18"/>
    </row>
    <row r="693" spans="1:4" ht="18" customHeight="1">
      <c r="A693" s="18"/>
      <c r="B693" s="18"/>
      <c r="C693" s="20"/>
      <c r="D693" s="18"/>
    </row>
    <row r="694" spans="1:4" ht="18" customHeight="1">
      <c r="A694" s="18"/>
      <c r="B694" s="18"/>
      <c r="C694" s="20"/>
      <c r="D694" s="18"/>
    </row>
    <row r="695" spans="1:4" ht="18" customHeight="1">
      <c r="A695" s="18"/>
      <c r="B695" s="18"/>
      <c r="C695" s="20"/>
      <c r="D695" s="18"/>
    </row>
    <row r="696" spans="1:4" ht="18" customHeight="1">
      <c r="A696" s="18"/>
      <c r="B696" s="18"/>
      <c r="C696" s="20"/>
      <c r="D696" s="18"/>
    </row>
    <row r="697" spans="1:4" ht="18" customHeight="1">
      <c r="A697" s="18"/>
      <c r="B697" s="18"/>
      <c r="C697" s="20"/>
      <c r="D697" s="18"/>
    </row>
    <row r="698" spans="1:4" ht="18" customHeight="1">
      <c r="A698" s="18"/>
      <c r="B698" s="18"/>
      <c r="C698" s="20"/>
      <c r="D698" s="18"/>
    </row>
    <row r="699" spans="1:4" ht="18" customHeight="1">
      <c r="A699" s="18"/>
      <c r="B699" s="18"/>
      <c r="C699" s="20"/>
      <c r="D699" s="18"/>
    </row>
    <row r="700" spans="1:4" ht="18" customHeight="1">
      <c r="A700" s="18"/>
      <c r="B700" s="18"/>
      <c r="C700" s="20"/>
      <c r="D700" s="18"/>
    </row>
    <row r="701" spans="1:4" ht="18" customHeight="1">
      <c r="A701" s="18"/>
      <c r="B701" s="18"/>
      <c r="C701" s="20"/>
      <c r="D701" s="18"/>
    </row>
    <row r="702" spans="1:4" ht="18" customHeight="1">
      <c r="A702" s="18"/>
      <c r="B702" s="18"/>
      <c r="C702" s="20"/>
      <c r="D702" s="18"/>
    </row>
    <row r="703" spans="1:4" ht="18" customHeight="1">
      <c r="A703" s="18"/>
      <c r="B703" s="18"/>
      <c r="C703" s="20"/>
      <c r="D703" s="18"/>
    </row>
    <row r="704" spans="1:4" ht="18" customHeight="1">
      <c r="A704" s="18"/>
      <c r="B704" s="18"/>
      <c r="C704" s="20"/>
      <c r="D704" s="18"/>
    </row>
    <row r="705" spans="1:4" ht="18" customHeight="1">
      <c r="A705" s="18"/>
      <c r="B705" s="18"/>
      <c r="C705" s="20"/>
      <c r="D705" s="18"/>
    </row>
    <row r="706" spans="1:4" ht="18" customHeight="1">
      <c r="A706" s="18"/>
      <c r="B706" s="18"/>
      <c r="C706" s="20"/>
      <c r="D706" s="18"/>
    </row>
    <row r="707" spans="1:4" ht="18" customHeight="1">
      <c r="A707" s="18"/>
      <c r="B707" s="18"/>
      <c r="C707" s="20"/>
      <c r="D707" s="18"/>
    </row>
    <row r="708" spans="1:4" ht="18" customHeight="1">
      <c r="A708" s="18"/>
      <c r="B708" s="18"/>
      <c r="C708" s="20"/>
      <c r="D708" s="18"/>
    </row>
    <row r="709" spans="1:4" ht="18" customHeight="1">
      <c r="A709" s="18"/>
      <c r="B709" s="18"/>
      <c r="C709" s="20"/>
      <c r="D709" s="18"/>
    </row>
    <row r="710" spans="1:4" ht="18" customHeight="1">
      <c r="A710" s="18"/>
      <c r="B710" s="18"/>
      <c r="C710" s="20"/>
      <c r="D710" s="18"/>
    </row>
    <row r="711" spans="1:4" ht="18" customHeight="1">
      <c r="A711" s="18"/>
      <c r="B711" s="18"/>
      <c r="C711" s="20"/>
      <c r="D711" s="18"/>
    </row>
    <row r="712" spans="1:4" ht="18" customHeight="1">
      <c r="A712" s="18"/>
      <c r="B712" s="18"/>
      <c r="C712" s="20"/>
      <c r="D712" s="18"/>
    </row>
    <row r="713" spans="1:4" ht="18" customHeight="1">
      <c r="A713" s="18"/>
      <c r="B713" s="18"/>
      <c r="C713" s="20"/>
      <c r="D713" s="18"/>
    </row>
    <row r="714" spans="1:4" ht="18" customHeight="1">
      <c r="A714" s="18"/>
      <c r="B714" s="18"/>
      <c r="C714" s="20"/>
      <c r="D714" s="18"/>
    </row>
    <row r="715" spans="1:4" ht="18" customHeight="1">
      <c r="A715" s="18"/>
      <c r="B715" s="18"/>
      <c r="C715" s="20"/>
      <c r="D715" s="18"/>
    </row>
    <row r="716" spans="1:4" ht="18" customHeight="1">
      <c r="A716" s="18"/>
      <c r="B716" s="18"/>
      <c r="C716" s="20"/>
      <c r="D716" s="18"/>
    </row>
    <row r="717" spans="1:4" ht="18" customHeight="1">
      <c r="A717" s="18"/>
      <c r="B717" s="18"/>
      <c r="C717" s="20"/>
      <c r="D717" s="18"/>
    </row>
    <row r="718" spans="1:4" ht="18" customHeight="1">
      <c r="A718" s="18"/>
      <c r="B718" s="18"/>
      <c r="C718" s="20"/>
      <c r="D718" s="18"/>
    </row>
    <row r="719" spans="1:4" ht="18" customHeight="1">
      <c r="A719" s="18"/>
      <c r="B719" s="18"/>
      <c r="C719" s="20"/>
      <c r="D719" s="18"/>
    </row>
    <row r="720" spans="1:4" ht="18" customHeight="1">
      <c r="A720" s="18"/>
      <c r="B720" s="18"/>
      <c r="C720" s="20"/>
      <c r="D720" s="18"/>
    </row>
    <row r="721" spans="1:4" ht="18" customHeight="1">
      <c r="A721" s="18"/>
      <c r="B721" s="18"/>
      <c r="C721" s="20"/>
      <c r="D721" s="18"/>
    </row>
    <row r="722" spans="1:4" ht="18" customHeight="1">
      <c r="A722" s="18"/>
      <c r="B722" s="18"/>
      <c r="C722" s="20"/>
      <c r="D722" s="18"/>
    </row>
    <row r="723" spans="1:4" ht="18" customHeight="1">
      <c r="A723" s="18"/>
      <c r="B723" s="18"/>
      <c r="C723" s="20"/>
      <c r="D723" s="18"/>
    </row>
    <row r="724" spans="1:4" ht="18" customHeight="1">
      <c r="A724" s="18"/>
      <c r="B724" s="18"/>
      <c r="C724" s="20"/>
      <c r="D724" s="18"/>
    </row>
    <row r="725" spans="1:4" ht="18" customHeight="1">
      <c r="A725" s="18"/>
      <c r="B725" s="18"/>
      <c r="C725" s="20"/>
      <c r="D725" s="18"/>
    </row>
    <row r="726" spans="1:4" ht="18" customHeight="1">
      <c r="A726" s="18"/>
      <c r="B726" s="18"/>
      <c r="C726" s="20"/>
      <c r="D726" s="18"/>
    </row>
    <row r="727" spans="1:4" ht="18" customHeight="1">
      <c r="A727" s="18"/>
      <c r="B727" s="18"/>
      <c r="C727" s="20"/>
      <c r="D727" s="18"/>
    </row>
    <row r="728" spans="1:4" ht="18" customHeight="1">
      <c r="A728" s="18"/>
      <c r="B728" s="18"/>
      <c r="C728" s="20"/>
      <c r="D728" s="18"/>
    </row>
    <row r="729" spans="1:4" ht="18" customHeight="1">
      <c r="A729" s="18"/>
      <c r="B729" s="18"/>
      <c r="C729" s="20"/>
      <c r="D729" s="18"/>
    </row>
    <row r="730" spans="1:4" ht="18" customHeight="1">
      <c r="A730" s="18"/>
      <c r="B730" s="18"/>
      <c r="C730" s="20"/>
      <c r="D730" s="18"/>
    </row>
    <row r="731" spans="1:4" ht="18" customHeight="1">
      <c r="A731" s="18"/>
      <c r="B731" s="18"/>
      <c r="C731" s="20"/>
      <c r="D731" s="18"/>
    </row>
    <row r="732" spans="1:4" ht="18" customHeight="1">
      <c r="A732" s="18"/>
      <c r="B732" s="18"/>
      <c r="C732" s="20"/>
      <c r="D732" s="18"/>
    </row>
    <row r="733" spans="1:4" ht="18" customHeight="1">
      <c r="A733" s="18"/>
      <c r="B733" s="18"/>
      <c r="C733" s="20"/>
      <c r="D733" s="18"/>
    </row>
    <row r="734" spans="1:4" ht="18" customHeight="1">
      <c r="A734" s="18"/>
      <c r="B734" s="18"/>
      <c r="C734" s="20"/>
      <c r="D734" s="18"/>
    </row>
    <row r="735" spans="1:4" ht="18" customHeight="1">
      <c r="A735" s="18"/>
      <c r="B735" s="18"/>
      <c r="C735" s="20"/>
      <c r="D735" s="18"/>
    </row>
    <row r="736" spans="1:4" ht="18" customHeight="1">
      <c r="A736" s="18"/>
      <c r="B736" s="18"/>
      <c r="C736" s="20"/>
      <c r="D736" s="18"/>
    </row>
    <row r="737" spans="1:4" ht="18" customHeight="1">
      <c r="A737" s="18"/>
      <c r="B737" s="18"/>
      <c r="C737" s="20"/>
      <c r="D737" s="18"/>
    </row>
    <row r="738" spans="1:4" ht="18" customHeight="1">
      <c r="A738" s="18"/>
      <c r="B738" s="18"/>
      <c r="C738" s="20"/>
      <c r="D738" s="18"/>
    </row>
    <row r="739" spans="1:4" ht="18" customHeight="1">
      <c r="A739" s="18"/>
      <c r="B739" s="18"/>
      <c r="C739" s="20"/>
      <c r="D739" s="18"/>
    </row>
    <row r="740" spans="1:4" ht="18" customHeight="1">
      <c r="A740" s="18"/>
      <c r="B740" s="18"/>
      <c r="C740" s="20"/>
      <c r="D740" s="18"/>
    </row>
    <row r="741" spans="1:4" ht="18" customHeight="1">
      <c r="A741" s="18"/>
      <c r="B741" s="18"/>
      <c r="C741" s="20"/>
      <c r="D741" s="18"/>
    </row>
    <row r="742" spans="1:4" ht="18" customHeight="1">
      <c r="A742" s="18"/>
      <c r="B742" s="18"/>
      <c r="C742" s="20"/>
      <c r="D742" s="18"/>
    </row>
    <row r="743" spans="1:4" ht="18" customHeight="1">
      <c r="A743" s="18"/>
      <c r="B743" s="18"/>
      <c r="C743" s="20"/>
      <c r="D743" s="18"/>
    </row>
    <row r="744" spans="1:4" ht="18" customHeight="1">
      <c r="A744" s="18"/>
      <c r="B744" s="18"/>
      <c r="C744" s="20"/>
      <c r="D744" s="18"/>
    </row>
    <row r="745" spans="1:4" ht="18" customHeight="1">
      <c r="A745" s="18"/>
      <c r="B745" s="18"/>
      <c r="C745" s="20"/>
      <c r="D745" s="18"/>
    </row>
    <row r="746" spans="1:4" ht="18" customHeight="1">
      <c r="A746" s="18"/>
      <c r="B746" s="18"/>
      <c r="C746" s="20"/>
      <c r="D746" s="18"/>
    </row>
    <row r="747" spans="1:4" ht="18" customHeight="1">
      <c r="A747" s="18"/>
      <c r="B747" s="18"/>
      <c r="C747" s="20"/>
      <c r="D747" s="18"/>
    </row>
    <row r="748" spans="1:4" ht="18" customHeight="1">
      <c r="A748" s="18"/>
      <c r="B748" s="18"/>
      <c r="C748" s="20"/>
      <c r="D748" s="18"/>
    </row>
    <row r="749" spans="1:4" ht="18" customHeight="1">
      <c r="A749" s="18"/>
      <c r="B749" s="18"/>
      <c r="C749" s="20"/>
      <c r="D749" s="18"/>
    </row>
    <row r="750" spans="1:4" ht="18" customHeight="1">
      <c r="A750" s="18"/>
      <c r="B750" s="18"/>
      <c r="C750" s="20"/>
      <c r="D750" s="18"/>
    </row>
    <row r="751" spans="1:4" ht="18" customHeight="1">
      <c r="A751" s="18"/>
      <c r="B751" s="18"/>
      <c r="C751" s="20"/>
      <c r="D751" s="18"/>
    </row>
    <row r="752" spans="1:4" ht="18" customHeight="1">
      <c r="A752" s="18"/>
      <c r="B752" s="18"/>
      <c r="C752" s="20"/>
      <c r="D752" s="18"/>
    </row>
    <row r="753" spans="1:4" ht="18" customHeight="1">
      <c r="A753" s="18"/>
      <c r="B753" s="18"/>
      <c r="C753" s="20"/>
      <c r="D753" s="18"/>
    </row>
    <row r="754" spans="1:4" ht="18" customHeight="1">
      <c r="A754" s="18"/>
      <c r="B754" s="18"/>
      <c r="C754" s="20"/>
      <c r="D754" s="18"/>
    </row>
    <row r="755" spans="1:4" ht="18" customHeight="1">
      <c r="A755" s="18"/>
      <c r="B755" s="18"/>
      <c r="C755" s="20"/>
      <c r="D755" s="18"/>
    </row>
    <row r="756" spans="1:4" ht="18" customHeight="1">
      <c r="A756" s="18"/>
      <c r="B756" s="18"/>
      <c r="C756" s="20"/>
      <c r="D756" s="18"/>
    </row>
    <row r="757" spans="1:4" ht="18" customHeight="1">
      <c r="A757" s="18"/>
      <c r="B757" s="18"/>
      <c r="C757" s="20"/>
      <c r="D757" s="18"/>
    </row>
    <row r="758" spans="1:4" ht="18" customHeight="1">
      <c r="A758" s="18"/>
      <c r="B758" s="18"/>
      <c r="C758" s="20"/>
      <c r="D758" s="18"/>
    </row>
    <row r="759" spans="1:4" ht="18" customHeight="1">
      <c r="A759" s="18"/>
      <c r="B759" s="18"/>
      <c r="C759" s="20"/>
      <c r="D759" s="18"/>
    </row>
    <row r="760" spans="1:4" ht="18" customHeight="1">
      <c r="A760" s="18"/>
      <c r="B760" s="18"/>
      <c r="C760" s="20"/>
      <c r="D760" s="18"/>
    </row>
    <row r="761" spans="1:4" ht="18" customHeight="1">
      <c r="A761" s="18"/>
      <c r="B761" s="18"/>
      <c r="C761" s="20"/>
      <c r="D761" s="18"/>
    </row>
    <row r="762" spans="1:4" ht="18" customHeight="1">
      <c r="A762" s="18"/>
      <c r="B762" s="18"/>
      <c r="C762" s="20"/>
      <c r="D762" s="18"/>
    </row>
    <row r="763" spans="1:4" ht="18" customHeight="1">
      <c r="A763" s="18"/>
      <c r="B763" s="18"/>
      <c r="C763" s="20"/>
      <c r="D763" s="18"/>
    </row>
    <row r="764" spans="1:4" ht="18" customHeight="1">
      <c r="A764" s="18"/>
      <c r="B764" s="18"/>
      <c r="C764" s="20"/>
      <c r="D764" s="18"/>
    </row>
    <row r="765" spans="1:4" ht="18" customHeight="1">
      <c r="A765" s="18"/>
      <c r="B765" s="18"/>
      <c r="C765" s="20"/>
      <c r="D765" s="18"/>
    </row>
    <row r="766" spans="1:4" ht="18" customHeight="1">
      <c r="A766" s="18"/>
      <c r="B766" s="18"/>
      <c r="C766" s="20"/>
      <c r="D766" s="18"/>
    </row>
    <row r="767" spans="1:4" ht="18" customHeight="1">
      <c r="A767" s="18"/>
      <c r="B767" s="18"/>
      <c r="C767" s="20"/>
      <c r="D767" s="18"/>
    </row>
    <row r="768" spans="1:4" ht="18" customHeight="1">
      <c r="A768" s="18"/>
      <c r="B768" s="18"/>
      <c r="C768" s="20"/>
      <c r="D768" s="18"/>
    </row>
    <row r="769" spans="1:4" ht="18" customHeight="1">
      <c r="A769" s="18"/>
      <c r="B769" s="18"/>
      <c r="C769" s="20"/>
      <c r="D769" s="18"/>
    </row>
    <row r="770" spans="1:4" ht="18" customHeight="1">
      <c r="A770" s="18"/>
      <c r="B770" s="18"/>
      <c r="C770" s="20"/>
      <c r="D770" s="18"/>
    </row>
    <row r="771" spans="1:4" ht="18" customHeight="1">
      <c r="A771" s="18"/>
      <c r="B771" s="18"/>
      <c r="C771" s="20"/>
      <c r="D771" s="18"/>
    </row>
    <row r="772" spans="1:4" ht="18" customHeight="1">
      <c r="A772" s="18"/>
      <c r="B772" s="18"/>
      <c r="C772" s="20"/>
      <c r="D772" s="18"/>
    </row>
    <row r="773" spans="1:4" ht="18" customHeight="1">
      <c r="A773" s="18"/>
      <c r="B773" s="18"/>
      <c r="C773" s="20"/>
      <c r="D773" s="18"/>
    </row>
    <row r="774" spans="1:4" ht="18" customHeight="1">
      <c r="A774" s="18"/>
      <c r="B774" s="18"/>
      <c r="C774" s="20"/>
      <c r="D774" s="18"/>
    </row>
    <row r="775" spans="1:4" ht="18" customHeight="1">
      <c r="A775" s="18"/>
      <c r="B775" s="18"/>
      <c r="C775" s="20"/>
      <c r="D775" s="18"/>
    </row>
    <row r="776" spans="1:4" ht="18" customHeight="1">
      <c r="A776" s="18"/>
      <c r="B776" s="18"/>
      <c r="C776" s="20"/>
      <c r="D776" s="18"/>
    </row>
    <row r="777" spans="1:4" ht="18" customHeight="1">
      <c r="A777" s="18"/>
      <c r="B777" s="18"/>
      <c r="C777" s="20"/>
      <c r="D777" s="18"/>
    </row>
    <row r="778" spans="1:4" ht="18" customHeight="1">
      <c r="A778" s="18"/>
      <c r="B778" s="18"/>
      <c r="C778" s="20"/>
      <c r="D778" s="18"/>
    </row>
    <row r="779" spans="1:4" ht="18" customHeight="1">
      <c r="A779" s="18"/>
      <c r="B779" s="18"/>
      <c r="C779" s="20"/>
      <c r="D779" s="18"/>
    </row>
    <row r="780" spans="1:4" ht="18" customHeight="1">
      <c r="A780" s="18"/>
      <c r="B780" s="18"/>
      <c r="C780" s="20"/>
      <c r="D780" s="18"/>
    </row>
    <row r="781" spans="1:4" ht="18" customHeight="1">
      <c r="A781" s="18"/>
      <c r="B781" s="18"/>
      <c r="C781" s="20"/>
      <c r="D781" s="18"/>
    </row>
    <row r="782" spans="1:4" ht="18" customHeight="1">
      <c r="A782" s="18"/>
      <c r="B782" s="18"/>
      <c r="C782" s="20"/>
      <c r="D782" s="18"/>
    </row>
    <row r="783" spans="1:4" ht="18" customHeight="1">
      <c r="A783" s="18"/>
      <c r="B783" s="18"/>
      <c r="C783" s="20"/>
      <c r="D783" s="18"/>
    </row>
    <row r="784" spans="1:4" ht="18" customHeight="1">
      <c r="A784" s="18"/>
      <c r="B784" s="18"/>
      <c r="C784" s="20"/>
      <c r="D784" s="18"/>
    </row>
    <row r="785" spans="1:4" ht="18" customHeight="1">
      <c r="A785" s="18"/>
      <c r="B785" s="18"/>
      <c r="C785" s="20"/>
      <c r="D785" s="18"/>
    </row>
    <row r="786" spans="1:4" ht="18" customHeight="1">
      <c r="A786" s="18"/>
      <c r="B786" s="18"/>
      <c r="C786" s="20"/>
      <c r="D786" s="18"/>
    </row>
    <row r="787" spans="1:4" ht="18" customHeight="1">
      <c r="A787" s="18"/>
      <c r="B787" s="18"/>
      <c r="C787" s="20"/>
      <c r="D787" s="18"/>
    </row>
    <row r="788" spans="1:4" ht="18" customHeight="1">
      <c r="A788" s="18"/>
      <c r="B788" s="18"/>
      <c r="C788" s="20"/>
      <c r="D788" s="18"/>
    </row>
    <row r="789" spans="1:4" ht="18" customHeight="1">
      <c r="A789" s="18"/>
      <c r="B789" s="18"/>
      <c r="C789" s="20"/>
      <c r="D789" s="18"/>
    </row>
    <row r="790" spans="1:4" ht="18" customHeight="1">
      <c r="A790" s="18"/>
      <c r="B790" s="18"/>
      <c r="C790" s="20"/>
      <c r="D790" s="18"/>
    </row>
    <row r="791" spans="1:4" ht="18" customHeight="1">
      <c r="A791" s="18"/>
      <c r="B791" s="18"/>
      <c r="C791" s="20"/>
      <c r="D791" s="18"/>
    </row>
    <row r="792" spans="1:4" ht="18" customHeight="1">
      <c r="A792" s="18"/>
      <c r="B792" s="18"/>
      <c r="C792" s="20"/>
      <c r="D792" s="18"/>
    </row>
    <row r="793" spans="1:4" ht="18" customHeight="1">
      <c r="A793" s="18"/>
      <c r="B793" s="18"/>
      <c r="C793" s="20"/>
      <c r="D793" s="18"/>
    </row>
    <row r="794" spans="1:4" ht="18" customHeight="1">
      <c r="A794" s="18"/>
      <c r="B794" s="18"/>
      <c r="C794" s="20"/>
      <c r="D794" s="18"/>
    </row>
    <row r="795" spans="1:4" ht="18" customHeight="1">
      <c r="A795" s="18"/>
      <c r="B795" s="18"/>
      <c r="C795" s="20"/>
      <c r="D795" s="18"/>
    </row>
    <row r="796" spans="1:4" ht="18" customHeight="1">
      <c r="A796" s="18"/>
      <c r="B796" s="18"/>
      <c r="C796" s="20"/>
      <c r="D796" s="18"/>
    </row>
    <row r="797" spans="1:4" ht="18" customHeight="1">
      <c r="A797" s="18"/>
      <c r="B797" s="18"/>
      <c r="C797" s="20"/>
      <c r="D797" s="18"/>
    </row>
    <row r="798" spans="1:4" ht="18" customHeight="1">
      <c r="A798" s="18"/>
      <c r="B798" s="18"/>
      <c r="C798" s="20"/>
      <c r="D798" s="18"/>
    </row>
    <row r="799" spans="1:4" ht="18" customHeight="1">
      <c r="A799" s="18"/>
      <c r="B799" s="18"/>
      <c r="C799" s="20"/>
      <c r="D799" s="18"/>
    </row>
    <row r="800" spans="1:4" ht="18" customHeight="1">
      <c r="A800" s="18"/>
      <c r="B800" s="18"/>
      <c r="C800" s="20"/>
      <c r="D800" s="18"/>
    </row>
    <row r="801" spans="1:4" ht="18" customHeight="1">
      <c r="A801" s="18"/>
      <c r="B801" s="18"/>
      <c r="C801" s="20"/>
      <c r="D801" s="18"/>
    </row>
    <row r="802" spans="1:4" ht="18" customHeight="1">
      <c r="A802" s="18"/>
      <c r="B802" s="18"/>
      <c r="C802" s="20"/>
      <c r="D802" s="18"/>
    </row>
    <row r="803" spans="1:4" ht="18" customHeight="1">
      <c r="A803" s="18"/>
      <c r="B803" s="18"/>
      <c r="C803" s="20"/>
      <c r="D803" s="18"/>
    </row>
    <row r="804" spans="1:4" ht="18" customHeight="1">
      <c r="A804" s="18"/>
      <c r="B804" s="18"/>
      <c r="C804" s="20"/>
      <c r="D804" s="18"/>
    </row>
    <row r="805" spans="1:4" ht="18" customHeight="1">
      <c r="A805" s="18"/>
      <c r="B805" s="18"/>
      <c r="C805" s="20"/>
      <c r="D805" s="18"/>
    </row>
    <row r="806" spans="1:4" ht="18" customHeight="1">
      <c r="A806" s="18"/>
      <c r="B806" s="18"/>
      <c r="C806" s="20"/>
      <c r="D806" s="18"/>
    </row>
    <row r="807" spans="1:4" ht="18" customHeight="1">
      <c r="A807" s="18"/>
      <c r="B807" s="18"/>
      <c r="C807" s="20"/>
      <c r="D807" s="18"/>
    </row>
    <row r="808" spans="1:4" ht="18" customHeight="1">
      <c r="A808" s="18"/>
      <c r="B808" s="18"/>
      <c r="C808" s="20"/>
      <c r="D808" s="18"/>
    </row>
    <row r="809" spans="1:4" ht="18" customHeight="1">
      <c r="A809" s="18"/>
      <c r="B809" s="18"/>
      <c r="C809" s="20"/>
      <c r="D809" s="18"/>
    </row>
    <row r="810" spans="1:4" ht="18" customHeight="1">
      <c r="A810" s="18"/>
      <c r="B810" s="18"/>
      <c r="C810" s="20"/>
      <c r="D810" s="18"/>
    </row>
    <row r="811" spans="1:4" ht="18" customHeight="1">
      <c r="A811" s="18"/>
      <c r="B811" s="18"/>
      <c r="C811" s="20"/>
      <c r="D811" s="18"/>
    </row>
    <row r="812" spans="1:4" ht="18" customHeight="1">
      <c r="A812" s="18"/>
      <c r="B812" s="18"/>
      <c r="C812" s="20"/>
      <c r="D812" s="18"/>
    </row>
    <row r="813" spans="1:4" ht="18" customHeight="1">
      <c r="A813" s="18"/>
      <c r="B813" s="18"/>
      <c r="C813" s="20"/>
      <c r="D813" s="18"/>
    </row>
    <row r="814" spans="1:4" ht="18" customHeight="1">
      <c r="A814" s="18"/>
      <c r="B814" s="18"/>
      <c r="C814" s="20"/>
      <c r="D814" s="18"/>
    </row>
    <row r="815" spans="1:4" ht="18" customHeight="1">
      <c r="A815" s="18"/>
      <c r="B815" s="18"/>
      <c r="C815" s="20"/>
      <c r="D815" s="18"/>
    </row>
    <row r="816" spans="1:4" ht="18" customHeight="1">
      <c r="A816" s="18"/>
      <c r="B816" s="18"/>
      <c r="C816" s="20"/>
      <c r="D816" s="18"/>
    </row>
    <row r="817" spans="1:4" ht="18" customHeight="1">
      <c r="A817" s="18"/>
      <c r="B817" s="18"/>
      <c r="C817" s="20"/>
      <c r="D817" s="18"/>
    </row>
    <row r="818" spans="1:4" ht="18" customHeight="1">
      <c r="A818" s="18"/>
      <c r="B818" s="18"/>
      <c r="C818" s="20"/>
      <c r="D818" s="18"/>
    </row>
    <row r="819" spans="1:4" ht="18" customHeight="1">
      <c r="A819" s="18"/>
      <c r="B819" s="18"/>
      <c r="C819" s="20"/>
      <c r="D819" s="18"/>
    </row>
    <row r="820" spans="1:4" ht="18" customHeight="1">
      <c r="A820" s="18"/>
      <c r="B820" s="18"/>
      <c r="C820" s="20"/>
      <c r="D820" s="18"/>
    </row>
    <row r="821" spans="1:4" ht="18" customHeight="1">
      <c r="A821" s="18"/>
      <c r="B821" s="18"/>
      <c r="C821" s="20"/>
      <c r="D821" s="18"/>
    </row>
    <row r="822" spans="1:4" ht="18" customHeight="1">
      <c r="A822" s="18"/>
      <c r="B822" s="18"/>
      <c r="C822" s="20"/>
      <c r="D822" s="18"/>
    </row>
    <row r="823" spans="1:4" ht="18" customHeight="1">
      <c r="A823" s="18"/>
      <c r="B823" s="18"/>
      <c r="C823" s="20"/>
      <c r="D823" s="18"/>
    </row>
    <row r="824" spans="1:4" ht="18" customHeight="1">
      <c r="A824" s="18"/>
      <c r="B824" s="18"/>
      <c r="C824" s="20"/>
      <c r="D824" s="18"/>
    </row>
    <row r="825" spans="1:4" ht="18" customHeight="1">
      <c r="A825" s="18"/>
      <c r="B825" s="18"/>
      <c r="C825" s="20"/>
      <c r="D825" s="18"/>
    </row>
    <row r="826" spans="1:4" ht="18" customHeight="1">
      <c r="A826" s="18"/>
      <c r="B826" s="18"/>
      <c r="C826" s="20"/>
      <c r="D826" s="18"/>
    </row>
    <row r="827" spans="1:4" ht="18" customHeight="1">
      <c r="A827" s="18"/>
      <c r="B827" s="18"/>
      <c r="C827" s="20"/>
      <c r="D827" s="18"/>
    </row>
    <row r="828" spans="1:4" ht="18" customHeight="1">
      <c r="A828" s="18"/>
      <c r="B828" s="18"/>
      <c r="C828" s="20"/>
      <c r="D828" s="18"/>
    </row>
    <row r="829" spans="1:4" ht="18" customHeight="1">
      <c r="A829" s="18"/>
      <c r="B829" s="18"/>
      <c r="C829" s="20"/>
      <c r="D829" s="18"/>
    </row>
    <row r="830" spans="1:4" ht="18" customHeight="1">
      <c r="A830" s="18"/>
      <c r="B830" s="18"/>
      <c r="C830" s="20"/>
      <c r="D830" s="18"/>
    </row>
    <row r="831" spans="1:4" ht="18" customHeight="1">
      <c r="A831" s="18"/>
      <c r="B831" s="18"/>
      <c r="C831" s="20"/>
      <c r="D831" s="18"/>
    </row>
    <row r="832" spans="1:4" ht="18" customHeight="1">
      <c r="A832" s="18"/>
      <c r="B832" s="18"/>
      <c r="C832" s="20"/>
      <c r="D832" s="18"/>
    </row>
    <row r="833" spans="1:4" ht="18" customHeight="1">
      <c r="A833" s="18"/>
      <c r="B833" s="18"/>
      <c r="C833" s="20"/>
      <c r="D833" s="18"/>
    </row>
    <row r="834" spans="1:4" ht="18" customHeight="1">
      <c r="A834" s="18"/>
      <c r="B834" s="18"/>
      <c r="C834" s="20"/>
      <c r="D834" s="18"/>
    </row>
    <row r="835" spans="1:4" ht="18" customHeight="1">
      <c r="A835" s="18"/>
      <c r="B835" s="18"/>
      <c r="C835" s="20"/>
      <c r="D835" s="18"/>
    </row>
    <row r="836" spans="1:4" ht="18" customHeight="1">
      <c r="A836" s="18"/>
      <c r="B836" s="18"/>
      <c r="C836" s="20"/>
      <c r="D836" s="18"/>
    </row>
    <row r="837" spans="1:4" ht="18" customHeight="1">
      <c r="A837" s="18"/>
      <c r="B837" s="18"/>
      <c r="C837" s="20"/>
      <c r="D837" s="18"/>
    </row>
    <row r="838" spans="1:4" ht="18" customHeight="1">
      <c r="A838" s="18"/>
      <c r="B838" s="18"/>
      <c r="C838" s="20"/>
      <c r="D838" s="18"/>
    </row>
    <row r="839" spans="1:4" ht="18" customHeight="1">
      <c r="A839" s="18"/>
      <c r="B839" s="18"/>
      <c r="C839" s="20"/>
      <c r="D839" s="18"/>
    </row>
    <row r="840" spans="1:4" ht="18" customHeight="1">
      <c r="A840" s="18"/>
      <c r="B840" s="18"/>
      <c r="C840" s="20"/>
      <c r="D840" s="18"/>
    </row>
    <row r="841" spans="1:4" ht="18" customHeight="1">
      <c r="A841" s="18"/>
      <c r="B841" s="18"/>
      <c r="C841" s="20"/>
      <c r="D841" s="18"/>
    </row>
    <row r="842" spans="1:4" ht="18" customHeight="1">
      <c r="A842" s="18"/>
      <c r="B842" s="18"/>
      <c r="C842" s="20"/>
      <c r="D842" s="18"/>
    </row>
    <row r="843" spans="1:4" ht="18" customHeight="1">
      <c r="A843" s="18"/>
      <c r="B843" s="18"/>
      <c r="C843" s="20"/>
      <c r="D843" s="18"/>
    </row>
    <row r="844" spans="1:4" ht="18" customHeight="1">
      <c r="A844" s="18"/>
      <c r="B844" s="18"/>
      <c r="C844" s="20"/>
      <c r="D844" s="18"/>
    </row>
    <row r="845" spans="1:4" ht="18" customHeight="1">
      <c r="A845" s="18"/>
      <c r="B845" s="18"/>
      <c r="C845" s="20"/>
      <c r="D845" s="18"/>
    </row>
    <row r="846" spans="1:4" ht="18" customHeight="1">
      <c r="A846" s="18"/>
      <c r="B846" s="18"/>
      <c r="C846" s="20"/>
      <c r="D846" s="18"/>
    </row>
    <row r="847" spans="1:4" ht="18" customHeight="1">
      <c r="A847" s="18"/>
      <c r="B847" s="18"/>
      <c r="C847" s="20"/>
      <c r="D847" s="18"/>
    </row>
    <row r="848" spans="1:4" ht="18" customHeight="1">
      <c r="A848" s="18"/>
      <c r="B848" s="18"/>
      <c r="C848" s="20"/>
      <c r="D848" s="18"/>
    </row>
    <row r="849" spans="1:4" ht="18" customHeight="1">
      <c r="A849" s="18"/>
      <c r="B849" s="18"/>
      <c r="C849" s="20"/>
      <c r="D849" s="18"/>
    </row>
    <row r="850" spans="1:4" ht="18" customHeight="1">
      <c r="A850" s="18"/>
      <c r="B850" s="18"/>
      <c r="C850" s="20"/>
      <c r="D850" s="18"/>
    </row>
    <row r="851" spans="1:4" ht="18" customHeight="1">
      <c r="A851" s="18"/>
      <c r="B851" s="18"/>
      <c r="C851" s="20"/>
      <c r="D851" s="18"/>
    </row>
    <row r="852" spans="1:4" ht="18" customHeight="1">
      <c r="A852" s="18"/>
      <c r="B852" s="18"/>
      <c r="C852" s="20"/>
      <c r="D852" s="18"/>
    </row>
    <row r="853" spans="1:4" ht="18" customHeight="1">
      <c r="A853" s="18"/>
      <c r="B853" s="18"/>
      <c r="C853" s="20"/>
      <c r="D853" s="18"/>
    </row>
    <row r="854" spans="1:4" ht="18" customHeight="1">
      <c r="A854" s="18"/>
      <c r="B854" s="18"/>
      <c r="C854" s="20"/>
      <c r="D854" s="18"/>
    </row>
    <row r="855" spans="1:4" ht="18" customHeight="1">
      <c r="A855" s="18"/>
      <c r="B855" s="18"/>
      <c r="C855" s="20"/>
      <c r="D855" s="18"/>
    </row>
    <row r="856" spans="1:4" ht="18" customHeight="1">
      <c r="A856" s="18"/>
      <c r="B856" s="18"/>
      <c r="C856" s="20"/>
      <c r="D856" s="18"/>
    </row>
    <row r="857" spans="1:4" ht="18" customHeight="1">
      <c r="A857" s="18"/>
      <c r="B857" s="18"/>
      <c r="C857" s="20"/>
      <c r="D857" s="18"/>
    </row>
    <row r="858" spans="1:4" ht="18" customHeight="1">
      <c r="A858" s="18"/>
      <c r="B858" s="18"/>
      <c r="C858" s="20"/>
      <c r="D858" s="18"/>
    </row>
    <row r="859" spans="1:4" ht="18" customHeight="1">
      <c r="A859" s="18"/>
      <c r="B859" s="18"/>
      <c r="C859" s="20"/>
      <c r="D859" s="18"/>
    </row>
    <row r="860" spans="1:4" ht="18" customHeight="1">
      <c r="A860" s="18"/>
      <c r="B860" s="18"/>
      <c r="C860" s="20"/>
      <c r="D860" s="18"/>
    </row>
    <row r="861" spans="1:4" ht="18" customHeight="1">
      <c r="A861" s="18"/>
      <c r="B861" s="18"/>
      <c r="C861" s="20"/>
      <c r="D861" s="18"/>
    </row>
    <row r="862" spans="1:4" ht="18" customHeight="1">
      <c r="A862" s="18"/>
      <c r="B862" s="18"/>
      <c r="C862" s="20"/>
      <c r="D862" s="18"/>
    </row>
    <row r="863" spans="1:4" ht="18" customHeight="1">
      <c r="A863" s="18"/>
      <c r="B863" s="18"/>
      <c r="C863" s="20"/>
      <c r="D863" s="18"/>
    </row>
    <row r="864" spans="1:4" ht="18" customHeight="1">
      <c r="A864" s="18"/>
      <c r="B864" s="18"/>
      <c r="C864" s="20"/>
      <c r="D864" s="18"/>
    </row>
    <row r="865" spans="1:4" ht="18" customHeight="1">
      <c r="A865" s="18"/>
      <c r="B865" s="18"/>
      <c r="C865" s="20"/>
      <c r="D865" s="18"/>
    </row>
    <row r="866" spans="1:4" ht="18" customHeight="1">
      <c r="A866" s="18"/>
      <c r="B866" s="18"/>
      <c r="C866" s="20"/>
      <c r="D866" s="18"/>
    </row>
    <row r="867" spans="1:4" ht="18" customHeight="1">
      <c r="A867" s="18"/>
      <c r="B867" s="18"/>
      <c r="C867" s="20"/>
      <c r="D867" s="18"/>
    </row>
    <row r="868" spans="1:4" ht="18" customHeight="1">
      <c r="A868" s="18"/>
      <c r="B868" s="18"/>
      <c r="C868" s="20"/>
      <c r="D868" s="18"/>
    </row>
    <row r="869" spans="1:4" ht="18" customHeight="1">
      <c r="A869" s="18"/>
      <c r="B869" s="18"/>
      <c r="C869" s="20"/>
      <c r="D869" s="18"/>
    </row>
    <row r="870" spans="1:4" ht="18" customHeight="1">
      <c r="A870" s="18"/>
      <c r="B870" s="18"/>
      <c r="C870" s="20"/>
      <c r="D870" s="18"/>
    </row>
    <row r="871" spans="1:4" ht="18" customHeight="1">
      <c r="A871" s="18"/>
      <c r="B871" s="18"/>
      <c r="C871" s="20"/>
      <c r="D871" s="18"/>
    </row>
    <row r="872" spans="1:4" ht="18" customHeight="1">
      <c r="A872" s="18"/>
      <c r="B872" s="18"/>
      <c r="C872" s="20"/>
      <c r="D872" s="18"/>
    </row>
    <row r="873" spans="1:4" ht="18" customHeight="1">
      <c r="A873" s="18"/>
      <c r="B873" s="18"/>
      <c r="C873" s="20"/>
      <c r="D873" s="18"/>
    </row>
    <row r="874" spans="1:4" ht="18" customHeight="1">
      <c r="A874" s="18"/>
      <c r="B874" s="18"/>
      <c r="C874" s="20"/>
      <c r="D874" s="18"/>
    </row>
    <row r="875" spans="1:4" ht="18" customHeight="1">
      <c r="A875" s="18"/>
      <c r="B875" s="18"/>
      <c r="C875" s="20"/>
      <c r="D875" s="18"/>
    </row>
    <row r="876" spans="1:4" ht="18" customHeight="1">
      <c r="A876" s="18"/>
      <c r="B876" s="18"/>
      <c r="C876" s="20"/>
      <c r="D876" s="18"/>
    </row>
    <row r="877" spans="1:4" ht="18" customHeight="1">
      <c r="A877" s="18"/>
      <c r="B877" s="18"/>
      <c r="C877" s="20"/>
      <c r="D877" s="18"/>
    </row>
    <row r="878" spans="1:4" ht="18" customHeight="1">
      <c r="A878" s="18"/>
      <c r="B878" s="18"/>
      <c r="C878" s="20"/>
      <c r="D878" s="18"/>
    </row>
    <row r="879" spans="1:4" ht="18" customHeight="1">
      <c r="A879" s="18"/>
      <c r="B879" s="18"/>
      <c r="C879" s="20"/>
      <c r="D879" s="18"/>
    </row>
    <row r="880" spans="1:4" ht="18" customHeight="1">
      <c r="A880" s="18"/>
      <c r="B880" s="18"/>
      <c r="C880" s="20"/>
      <c r="D880" s="18"/>
    </row>
    <row r="881" spans="1:4" ht="18" customHeight="1">
      <c r="A881" s="18"/>
      <c r="B881" s="18"/>
      <c r="C881" s="20"/>
      <c r="D881" s="18"/>
    </row>
    <row r="882" spans="1:4" ht="18" customHeight="1">
      <c r="A882" s="18"/>
      <c r="B882" s="18"/>
      <c r="C882" s="20"/>
      <c r="D882" s="18"/>
    </row>
    <row r="883" spans="1:4" ht="18" customHeight="1">
      <c r="A883" s="18"/>
      <c r="B883" s="18"/>
      <c r="C883" s="20"/>
      <c r="D883" s="18"/>
    </row>
    <row r="884" spans="1:4" ht="18" customHeight="1">
      <c r="A884" s="18"/>
      <c r="B884" s="18"/>
      <c r="C884" s="20"/>
      <c r="D884" s="18"/>
    </row>
    <row r="885" spans="1:4" ht="18" customHeight="1">
      <c r="A885" s="18"/>
      <c r="B885" s="18"/>
      <c r="C885" s="20"/>
      <c r="D885" s="18"/>
    </row>
    <row r="886" spans="1:4" ht="18" customHeight="1">
      <c r="A886" s="18"/>
      <c r="B886" s="18"/>
      <c r="C886" s="20"/>
      <c r="D886" s="18"/>
    </row>
    <row r="887" spans="1:4" ht="18" customHeight="1">
      <c r="A887" s="18"/>
      <c r="B887" s="18"/>
      <c r="C887" s="20"/>
      <c r="D887" s="18"/>
    </row>
    <row r="888" spans="1:4" ht="18" customHeight="1">
      <c r="A888" s="18"/>
      <c r="B888" s="18"/>
      <c r="C888" s="20"/>
      <c r="D888" s="18"/>
    </row>
    <row r="889" spans="1:4" ht="18" customHeight="1">
      <c r="A889" s="18"/>
      <c r="B889" s="18"/>
      <c r="C889" s="20"/>
      <c r="D889" s="18"/>
    </row>
    <row r="890" spans="1:4" ht="18" customHeight="1">
      <c r="A890" s="18"/>
      <c r="B890" s="18"/>
      <c r="C890" s="20"/>
      <c r="D890" s="18"/>
    </row>
    <row r="891" spans="1:4" ht="18" customHeight="1">
      <c r="A891" s="18"/>
      <c r="B891" s="18"/>
      <c r="C891" s="20"/>
      <c r="D891" s="18"/>
    </row>
    <row r="892" spans="1:4" ht="18" customHeight="1">
      <c r="A892" s="18"/>
      <c r="B892" s="18"/>
      <c r="C892" s="20"/>
      <c r="D892" s="18"/>
    </row>
    <row r="893" spans="1:4" ht="18" customHeight="1">
      <c r="A893" s="18"/>
      <c r="B893" s="18"/>
      <c r="C893" s="20"/>
      <c r="D893" s="18"/>
    </row>
    <row r="894" spans="1:4" ht="18" customHeight="1">
      <c r="A894" s="18"/>
      <c r="B894" s="18"/>
      <c r="C894" s="20"/>
      <c r="D894" s="18"/>
    </row>
    <row r="895" spans="1:4" ht="18" customHeight="1">
      <c r="A895" s="18"/>
      <c r="B895" s="18"/>
      <c r="C895" s="20"/>
      <c r="D895" s="18"/>
    </row>
    <row r="896" spans="1:4" ht="18" customHeight="1">
      <c r="A896" s="18"/>
      <c r="B896" s="18"/>
      <c r="C896" s="20"/>
      <c r="D896" s="18"/>
    </row>
    <row r="897" spans="1:4" ht="18" customHeight="1">
      <c r="A897" s="18"/>
      <c r="B897" s="18"/>
      <c r="C897" s="20"/>
      <c r="D897" s="18"/>
    </row>
    <row r="898" spans="1:4" ht="18" customHeight="1">
      <c r="A898" s="18"/>
      <c r="B898" s="18"/>
      <c r="C898" s="20"/>
      <c r="D898" s="18"/>
    </row>
    <row r="899" spans="1:4" ht="18" customHeight="1">
      <c r="A899" s="18"/>
      <c r="B899" s="18"/>
      <c r="C899" s="20"/>
      <c r="D899" s="18"/>
    </row>
    <row r="900" spans="1:4" ht="18" customHeight="1">
      <c r="A900" s="18"/>
      <c r="B900" s="18"/>
      <c r="C900" s="20"/>
      <c r="D900" s="18"/>
    </row>
    <row r="901" spans="1:4" ht="18" customHeight="1">
      <c r="A901" s="18"/>
      <c r="B901" s="18"/>
      <c r="C901" s="20"/>
      <c r="D901" s="18"/>
    </row>
    <row r="902" spans="1:4" ht="18" customHeight="1">
      <c r="A902" s="18"/>
      <c r="B902" s="18"/>
      <c r="C902" s="20"/>
      <c r="D902" s="18"/>
    </row>
    <row r="903" spans="1:4" ht="18" customHeight="1">
      <c r="A903" s="18"/>
      <c r="B903" s="18"/>
      <c r="C903" s="20"/>
      <c r="D903" s="18"/>
    </row>
    <row r="904" spans="1:4" ht="18" customHeight="1">
      <c r="A904" s="18"/>
      <c r="B904" s="18"/>
      <c r="C904" s="20"/>
      <c r="D904" s="18"/>
    </row>
    <row r="905" spans="1:4" ht="18" customHeight="1">
      <c r="A905" s="18"/>
      <c r="B905" s="18"/>
      <c r="C905" s="20"/>
      <c r="D905" s="18"/>
    </row>
    <row r="906" spans="1:4" ht="18" customHeight="1">
      <c r="A906" s="18"/>
      <c r="B906" s="18"/>
      <c r="C906" s="20"/>
      <c r="D906" s="18"/>
    </row>
    <row r="907" spans="1:4" ht="18" customHeight="1">
      <c r="A907" s="18"/>
      <c r="B907" s="18"/>
      <c r="C907" s="20"/>
      <c r="D907" s="18"/>
    </row>
    <row r="908" spans="1:4" ht="18" customHeight="1">
      <c r="A908" s="18"/>
      <c r="B908" s="18"/>
      <c r="C908" s="20"/>
      <c r="D908" s="18"/>
    </row>
    <row r="909" spans="1:4" ht="18" customHeight="1">
      <c r="A909" s="18"/>
      <c r="B909" s="18"/>
      <c r="C909" s="20"/>
      <c r="D909" s="18"/>
    </row>
    <row r="910" spans="1:4" ht="18" customHeight="1">
      <c r="A910" s="18"/>
      <c r="B910" s="18"/>
      <c r="C910" s="20"/>
      <c r="D910" s="18"/>
    </row>
    <row r="911" spans="1:4" ht="18" customHeight="1">
      <c r="A911" s="18"/>
      <c r="B911" s="18"/>
      <c r="C911" s="20"/>
      <c r="D911" s="18"/>
    </row>
    <row r="912" spans="1:4" ht="18" customHeight="1">
      <c r="A912" s="18"/>
      <c r="B912" s="18"/>
      <c r="C912" s="20"/>
      <c r="D912" s="18"/>
    </row>
    <row r="913" spans="1:4" ht="18" customHeight="1">
      <c r="A913" s="18"/>
      <c r="B913" s="18"/>
      <c r="C913" s="20"/>
      <c r="D913" s="18"/>
    </row>
    <row r="914" spans="1:4" ht="18" customHeight="1">
      <c r="A914" s="18"/>
      <c r="B914" s="18"/>
      <c r="C914" s="20"/>
      <c r="D914" s="18"/>
    </row>
    <row r="915" spans="1:4" ht="18" customHeight="1">
      <c r="A915" s="18"/>
      <c r="B915" s="18"/>
      <c r="C915" s="20"/>
      <c r="D915" s="18"/>
    </row>
    <row r="916" spans="1:4" ht="18" customHeight="1">
      <c r="A916" s="18"/>
      <c r="B916" s="18"/>
      <c r="C916" s="20"/>
      <c r="D916" s="18"/>
    </row>
    <row r="917" spans="1:4" ht="18" customHeight="1">
      <c r="A917" s="18"/>
      <c r="B917" s="18"/>
      <c r="C917" s="20"/>
      <c r="D917" s="18"/>
    </row>
    <row r="918" spans="1:4" ht="18" customHeight="1">
      <c r="A918" s="18"/>
      <c r="B918" s="18"/>
      <c r="C918" s="20"/>
      <c r="D918" s="18"/>
    </row>
    <row r="919" spans="1:4" ht="18" customHeight="1">
      <c r="A919" s="18"/>
      <c r="B919" s="18"/>
      <c r="C919" s="20"/>
      <c r="D919" s="18"/>
    </row>
    <row r="920" spans="1:4" ht="18" customHeight="1">
      <c r="A920" s="18"/>
      <c r="B920" s="18"/>
      <c r="C920" s="20"/>
      <c r="D920" s="18"/>
    </row>
    <row r="921" spans="1:4" ht="18" customHeight="1">
      <c r="A921" s="18"/>
      <c r="B921" s="18"/>
      <c r="C921" s="20"/>
      <c r="D921" s="18"/>
    </row>
    <row r="922" spans="1:4" ht="18" customHeight="1">
      <c r="A922" s="18"/>
      <c r="B922" s="18"/>
      <c r="C922" s="20"/>
      <c r="D922" s="18"/>
    </row>
    <row r="923" spans="1:4" ht="18" customHeight="1">
      <c r="A923" s="18"/>
      <c r="B923" s="18"/>
      <c r="C923" s="20"/>
      <c r="D923" s="18"/>
    </row>
    <row r="924" spans="1:4" ht="18" customHeight="1">
      <c r="A924" s="18"/>
      <c r="B924" s="18"/>
      <c r="C924" s="20"/>
      <c r="D924" s="18"/>
    </row>
    <row r="925" spans="1:4" ht="18" customHeight="1">
      <c r="A925" s="18"/>
      <c r="B925" s="18"/>
      <c r="C925" s="20"/>
      <c r="D925" s="18"/>
    </row>
    <row r="926" spans="1:4" ht="18" customHeight="1">
      <c r="A926" s="18"/>
      <c r="B926" s="18"/>
      <c r="C926" s="20"/>
      <c r="D926" s="18"/>
    </row>
    <row r="927" spans="1:4" ht="18" customHeight="1">
      <c r="A927" s="18"/>
      <c r="B927" s="18"/>
      <c r="C927" s="20"/>
      <c r="D927" s="18"/>
    </row>
    <row r="928" spans="1:4" ht="18" customHeight="1">
      <c r="A928" s="18"/>
      <c r="B928" s="18"/>
      <c r="C928" s="20"/>
      <c r="D928" s="18"/>
    </row>
    <row r="929" spans="1:4" ht="18" customHeight="1">
      <c r="A929" s="18"/>
      <c r="B929" s="18"/>
      <c r="C929" s="20"/>
      <c r="D929" s="18"/>
    </row>
    <row r="930" spans="1:4" ht="18" customHeight="1">
      <c r="A930" s="18"/>
      <c r="B930" s="18"/>
      <c r="C930" s="20"/>
      <c r="D930" s="18"/>
    </row>
    <row r="931" spans="1:4" ht="18" customHeight="1">
      <c r="A931" s="18"/>
      <c r="B931" s="18"/>
      <c r="C931" s="20"/>
      <c r="D931" s="18"/>
    </row>
    <row r="932" spans="1:4" ht="18" customHeight="1">
      <c r="A932" s="18"/>
      <c r="B932" s="18"/>
      <c r="C932" s="20"/>
      <c r="D932" s="18"/>
    </row>
    <row r="933" spans="1:4" ht="18" customHeight="1">
      <c r="A933" s="18"/>
      <c r="B933" s="18"/>
      <c r="C933" s="20"/>
      <c r="D933" s="18"/>
    </row>
    <row r="934" spans="1:4" ht="18" customHeight="1">
      <c r="A934" s="18"/>
      <c r="B934" s="18"/>
      <c r="C934" s="20"/>
      <c r="D934" s="18"/>
    </row>
    <row r="935" spans="1:4" ht="18" customHeight="1">
      <c r="A935" s="18"/>
      <c r="B935" s="18"/>
      <c r="C935" s="20"/>
      <c r="D935" s="18"/>
    </row>
    <row r="936" spans="1:4" ht="18" customHeight="1">
      <c r="A936" s="18"/>
      <c r="B936" s="18"/>
      <c r="C936" s="20"/>
      <c r="D936" s="18"/>
    </row>
    <row r="937" spans="1:4" ht="18" customHeight="1">
      <c r="A937" s="18"/>
      <c r="B937" s="18"/>
      <c r="C937" s="20"/>
      <c r="D937" s="18"/>
    </row>
    <row r="938" spans="1:4" ht="18" customHeight="1">
      <c r="A938" s="18"/>
      <c r="B938" s="18"/>
      <c r="C938" s="20"/>
      <c r="D938" s="18"/>
    </row>
    <row r="939" spans="1:4" ht="18" customHeight="1">
      <c r="A939" s="18"/>
      <c r="B939" s="18"/>
      <c r="C939" s="20"/>
      <c r="D939" s="18"/>
    </row>
    <row r="940" spans="1:4" ht="18" customHeight="1">
      <c r="A940" s="18"/>
      <c r="B940" s="18"/>
      <c r="C940" s="20"/>
      <c r="D940" s="18"/>
    </row>
    <row r="941" spans="1:4" ht="18" customHeight="1">
      <c r="A941" s="18"/>
      <c r="B941" s="18"/>
      <c r="C941" s="20"/>
      <c r="D941" s="18"/>
    </row>
    <row r="942" spans="1:4" ht="18" customHeight="1">
      <c r="A942" s="18"/>
      <c r="B942" s="18"/>
      <c r="C942" s="20"/>
      <c r="D942" s="18"/>
    </row>
    <row r="943" spans="1:4" ht="18" customHeight="1">
      <c r="A943" s="18"/>
      <c r="B943" s="18"/>
      <c r="C943" s="20"/>
      <c r="D943" s="18"/>
    </row>
    <row r="944" spans="1:4" ht="18" customHeight="1">
      <c r="A944" s="18"/>
      <c r="B944" s="18"/>
      <c r="C944" s="20"/>
      <c r="D944" s="18"/>
    </row>
    <row r="945" spans="1:4" ht="18" customHeight="1">
      <c r="A945" s="18"/>
      <c r="B945" s="18"/>
      <c r="C945" s="20"/>
      <c r="D945" s="18"/>
    </row>
    <row r="946" spans="1:4" ht="18" customHeight="1">
      <c r="A946" s="18"/>
      <c r="B946" s="18"/>
      <c r="C946" s="20"/>
      <c r="D946" s="18"/>
    </row>
    <row r="947" spans="1:4" ht="18" customHeight="1">
      <c r="A947" s="18"/>
      <c r="B947" s="18"/>
      <c r="C947" s="20"/>
      <c r="D947" s="18"/>
    </row>
    <row r="948" spans="1:4" ht="18" customHeight="1">
      <c r="A948" s="18"/>
      <c r="B948" s="18"/>
      <c r="C948" s="20"/>
      <c r="D948" s="18"/>
    </row>
    <row r="949" spans="1:4" ht="18" customHeight="1">
      <c r="A949" s="18"/>
      <c r="B949" s="18"/>
      <c r="C949" s="20"/>
      <c r="D949" s="18"/>
    </row>
    <row r="950" spans="1:4" ht="18" customHeight="1">
      <c r="A950" s="18"/>
      <c r="B950" s="18"/>
      <c r="C950" s="20"/>
      <c r="D950" s="18"/>
    </row>
    <row r="951" spans="1:4" ht="18" customHeight="1">
      <c r="A951" s="18"/>
      <c r="B951" s="18"/>
      <c r="C951" s="20"/>
      <c r="D951" s="18"/>
    </row>
    <row r="952" spans="1:4" ht="18" customHeight="1">
      <c r="A952" s="18"/>
      <c r="B952" s="18"/>
      <c r="C952" s="20"/>
      <c r="D952" s="18"/>
    </row>
    <row r="953" spans="1:4" ht="18" customHeight="1">
      <c r="A953" s="18"/>
      <c r="B953" s="18"/>
      <c r="C953" s="20"/>
      <c r="D953" s="18"/>
    </row>
    <row r="954" spans="1:4" ht="18" customHeight="1">
      <c r="A954" s="18"/>
      <c r="B954" s="18"/>
      <c r="C954" s="20"/>
      <c r="D954" s="18"/>
    </row>
    <row r="955" spans="1:4" ht="18" customHeight="1">
      <c r="A955" s="18"/>
      <c r="B955" s="18"/>
      <c r="C955" s="20"/>
      <c r="D955" s="18"/>
    </row>
    <row r="956" spans="1:4" ht="18" customHeight="1">
      <c r="A956" s="18"/>
      <c r="B956" s="18"/>
      <c r="C956" s="20"/>
      <c r="D956" s="18"/>
    </row>
    <row r="957" spans="1:4" ht="18" customHeight="1">
      <c r="A957" s="18"/>
      <c r="B957" s="18"/>
      <c r="C957" s="20"/>
      <c r="D957" s="18"/>
    </row>
    <row r="958" spans="1:4" ht="18" customHeight="1">
      <c r="A958" s="18"/>
      <c r="B958" s="18"/>
      <c r="C958" s="20"/>
      <c r="D958" s="18"/>
    </row>
    <row r="959" spans="1:4" ht="18" customHeight="1">
      <c r="A959" s="18"/>
      <c r="B959" s="18"/>
      <c r="C959" s="20"/>
      <c r="D959" s="18"/>
    </row>
    <row r="960" spans="1:4" ht="18" customHeight="1">
      <c r="A960" s="18"/>
      <c r="B960" s="18"/>
      <c r="C960" s="20"/>
      <c r="D960" s="18"/>
    </row>
    <row r="961" spans="1:4" ht="18" customHeight="1">
      <c r="A961" s="18"/>
      <c r="B961" s="18"/>
      <c r="C961" s="20"/>
      <c r="D961" s="18"/>
    </row>
    <row r="962" spans="1:4" ht="18" customHeight="1">
      <c r="A962" s="18"/>
      <c r="B962" s="18"/>
      <c r="C962" s="20"/>
      <c r="D962" s="18"/>
    </row>
    <row r="963" spans="1:4" ht="18" customHeight="1">
      <c r="A963" s="18"/>
      <c r="B963" s="18"/>
      <c r="C963" s="20"/>
      <c r="D963" s="18"/>
    </row>
    <row r="964" spans="1:4" ht="18" customHeight="1">
      <c r="A964" s="18"/>
      <c r="B964" s="18"/>
      <c r="C964" s="20"/>
      <c r="D964" s="18"/>
    </row>
    <row r="965" spans="1:4" ht="18" customHeight="1">
      <c r="A965" s="18"/>
      <c r="B965" s="18"/>
      <c r="C965" s="20"/>
      <c r="D965" s="18"/>
    </row>
    <row r="966" spans="1:4" ht="18" customHeight="1">
      <c r="A966" s="18"/>
      <c r="B966" s="18"/>
      <c r="C966" s="20"/>
      <c r="D966" s="18"/>
    </row>
    <row r="967" spans="1:4" ht="18" customHeight="1">
      <c r="A967" s="18"/>
      <c r="B967" s="18"/>
      <c r="C967" s="20"/>
      <c r="D967" s="18"/>
    </row>
    <row r="968" spans="1:4" ht="18" customHeight="1">
      <c r="A968" s="18"/>
      <c r="B968" s="18"/>
      <c r="C968" s="20"/>
      <c r="D968" s="18"/>
    </row>
    <row r="969" spans="1:4" ht="18" customHeight="1">
      <c r="A969" s="18"/>
      <c r="B969" s="18"/>
      <c r="C969" s="20"/>
      <c r="D969" s="18"/>
    </row>
    <row r="970" spans="1:4" ht="18" customHeight="1">
      <c r="A970" s="18"/>
      <c r="B970" s="18"/>
      <c r="C970" s="20"/>
      <c r="D970" s="18"/>
    </row>
    <row r="971" spans="1:4" ht="18" customHeight="1">
      <c r="A971" s="18"/>
      <c r="B971" s="18"/>
      <c r="C971" s="20"/>
      <c r="D971" s="18"/>
    </row>
    <row r="972" spans="1:4" ht="18" customHeight="1">
      <c r="A972" s="18"/>
      <c r="B972" s="18"/>
      <c r="C972" s="20"/>
      <c r="D972" s="18"/>
    </row>
    <row r="973" spans="1:4" ht="18" customHeight="1">
      <c r="A973" s="18"/>
      <c r="B973" s="18"/>
      <c r="C973" s="20"/>
      <c r="D973" s="18"/>
    </row>
    <row r="974" spans="1:4" ht="18" customHeight="1">
      <c r="A974" s="18"/>
      <c r="B974" s="18"/>
      <c r="C974" s="20"/>
      <c r="D974" s="18"/>
    </row>
    <row r="975" spans="1:4" ht="18" customHeight="1">
      <c r="A975" s="18"/>
      <c r="B975" s="18"/>
      <c r="C975" s="20"/>
      <c r="D975" s="18"/>
    </row>
    <row r="976" spans="1:4" ht="18" customHeight="1">
      <c r="A976" s="18"/>
      <c r="B976" s="18"/>
      <c r="C976" s="20"/>
      <c r="D976" s="18"/>
    </row>
    <row r="977" spans="1:4" ht="18" customHeight="1">
      <c r="A977" s="18"/>
      <c r="B977" s="18"/>
      <c r="C977" s="20"/>
      <c r="D977" s="18"/>
    </row>
    <row r="978" spans="1:4" ht="18" customHeight="1">
      <c r="A978" s="18"/>
      <c r="B978" s="18"/>
      <c r="C978" s="20"/>
      <c r="D978" s="18"/>
    </row>
    <row r="979" spans="1:4" ht="18" customHeight="1">
      <c r="A979" s="18"/>
      <c r="B979" s="18"/>
      <c r="C979" s="20"/>
      <c r="D979" s="18"/>
    </row>
    <row r="980" spans="1:4" ht="18" customHeight="1">
      <c r="A980" s="18"/>
      <c r="B980" s="18"/>
      <c r="C980" s="20"/>
      <c r="D980" s="18"/>
    </row>
    <row r="981" spans="1:4" ht="18" customHeight="1">
      <c r="A981" s="18"/>
      <c r="B981" s="18"/>
      <c r="C981" s="20"/>
      <c r="D981" s="18"/>
    </row>
    <row r="982" spans="1:4" ht="18" customHeight="1">
      <c r="A982" s="18"/>
      <c r="B982" s="18"/>
      <c r="C982" s="20"/>
      <c r="D982" s="18"/>
    </row>
    <row r="983" spans="1:4" ht="18" customHeight="1">
      <c r="A983" s="18"/>
      <c r="B983" s="18"/>
      <c r="C983" s="20"/>
      <c r="D983" s="18"/>
    </row>
    <row r="984" spans="1:4" ht="18" customHeight="1">
      <c r="A984" s="18"/>
      <c r="B984" s="18"/>
      <c r="C984" s="20"/>
      <c r="D984" s="18"/>
    </row>
    <row r="985" spans="1:4" ht="18" customHeight="1">
      <c r="A985" s="18"/>
      <c r="B985" s="18"/>
      <c r="C985" s="20"/>
      <c r="D985" s="18"/>
    </row>
    <row r="986" spans="1:4" ht="18" customHeight="1">
      <c r="A986" s="18"/>
      <c r="B986" s="18"/>
      <c r="C986" s="20"/>
      <c r="D986" s="18"/>
    </row>
    <row r="987" spans="1:4" ht="18" customHeight="1">
      <c r="A987" s="18"/>
      <c r="B987" s="18"/>
      <c r="C987" s="20"/>
      <c r="D987" s="18"/>
    </row>
    <row r="988" spans="1:4" ht="18" customHeight="1">
      <c r="A988" s="18"/>
      <c r="B988" s="18"/>
      <c r="C988" s="20"/>
      <c r="D988" s="18"/>
    </row>
    <row r="989" spans="1:4" ht="18" customHeight="1">
      <c r="A989" s="18"/>
      <c r="B989" s="18"/>
      <c r="C989" s="20"/>
      <c r="D989" s="18"/>
    </row>
    <row r="990" spans="1:4" ht="18" customHeight="1">
      <c r="A990" s="18"/>
      <c r="B990" s="18"/>
      <c r="C990" s="20"/>
      <c r="D990" s="18"/>
    </row>
    <row r="991" spans="1:4" ht="18" customHeight="1">
      <c r="A991" s="18"/>
      <c r="B991" s="18"/>
      <c r="C991" s="20"/>
      <c r="D991" s="18"/>
    </row>
    <row r="992" spans="1:4" ht="18" customHeight="1">
      <c r="A992" s="18"/>
      <c r="B992" s="18"/>
      <c r="C992" s="20"/>
      <c r="D992" s="18"/>
    </row>
    <row r="993" spans="1:4" ht="18" customHeight="1">
      <c r="A993" s="18"/>
      <c r="B993" s="18"/>
      <c r="C993" s="20"/>
      <c r="D993" s="18"/>
    </row>
    <row r="994" spans="1:4" ht="18" customHeight="1">
      <c r="A994" s="18"/>
      <c r="B994" s="18"/>
      <c r="C994" s="20"/>
      <c r="D994" s="18"/>
    </row>
    <row r="995" spans="1:4" ht="18" customHeight="1">
      <c r="A995" s="18"/>
      <c r="B995" s="18"/>
      <c r="C995" s="20"/>
      <c r="D995" s="18"/>
    </row>
    <row r="996" spans="1:4" ht="18" customHeight="1">
      <c r="A996" s="18"/>
      <c r="B996" s="18"/>
      <c r="C996" s="20"/>
      <c r="D996" s="18"/>
    </row>
    <row r="997" spans="1:4" ht="18" customHeight="1">
      <c r="A997" s="18"/>
      <c r="B997" s="18"/>
      <c r="C997" s="20"/>
      <c r="D997" s="18"/>
    </row>
    <row r="998" spans="1:4" ht="18" customHeight="1">
      <c r="A998" s="18"/>
      <c r="B998" s="18"/>
      <c r="C998" s="20"/>
      <c r="D998" s="18"/>
    </row>
    <row r="999" spans="1:4" ht="18" customHeight="1">
      <c r="A999" s="18"/>
      <c r="B999" s="18"/>
      <c r="C999" s="20"/>
      <c r="D999" s="18"/>
    </row>
    <row r="1000" spans="1:4" ht="18" customHeight="1">
      <c r="A1000" s="18"/>
      <c r="B1000" s="18"/>
      <c r="C1000" s="20"/>
      <c r="D1000" s="18"/>
    </row>
  </sheetData>
  <mergeCells count="10">
    <mergeCell ref="A23:A27"/>
    <mergeCell ref="A29:A34"/>
    <mergeCell ref="A1:D1"/>
    <mergeCell ref="A2:A7"/>
    <mergeCell ref="B2:C2"/>
    <mergeCell ref="A8:A12"/>
    <mergeCell ref="A13:A17"/>
    <mergeCell ref="A18:A22"/>
    <mergeCell ref="A28:D28"/>
    <mergeCell ref="B29:C29"/>
  </mergeCells>
  <pageMargins left="0.7" right="0.7" top="0.75" bottom="0.75" header="0" footer="0"/>
  <pageSetup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Q42"/>
  <sheetViews>
    <sheetView zoomScale="125" workbookViewId="0">
      <selection activeCell="I40" sqref="I40:J40"/>
    </sheetView>
  </sheetViews>
  <sheetFormatPr defaultColWidth="14.44140625" defaultRowHeight="15" customHeight="1"/>
  <cols>
    <col min="1" max="2" width="3.33203125" customWidth="1"/>
    <col min="3" max="3" width="15.6640625" customWidth="1"/>
    <col min="4" max="4" width="11.77734375" customWidth="1"/>
    <col min="5" max="9" width="12.44140625" customWidth="1"/>
    <col min="10" max="10" width="13.77734375" customWidth="1"/>
    <col min="11" max="11" width="11.6640625" customWidth="1"/>
    <col min="12" max="12" width="10.44140625" customWidth="1"/>
    <col min="13" max="13" width="4.44140625" customWidth="1"/>
    <col min="14" max="15" width="7" customWidth="1"/>
    <col min="16" max="16" width="6.33203125" customWidth="1"/>
    <col min="17" max="17" width="14.109375" customWidth="1"/>
  </cols>
  <sheetData>
    <row r="1" spans="1:17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22"/>
      <c r="O1" s="21"/>
      <c r="P1" s="21"/>
      <c r="Q1" s="21"/>
    </row>
    <row r="2" spans="1:17" ht="33" customHeight="1">
      <c r="A2" s="21"/>
      <c r="B2" s="23"/>
      <c r="C2" s="21"/>
      <c r="D2" s="353" t="s">
        <v>341</v>
      </c>
      <c r="E2" s="354"/>
      <c r="F2" s="354"/>
      <c r="G2" s="354"/>
      <c r="H2" s="354"/>
      <c r="I2" s="354"/>
      <c r="J2" s="355"/>
      <c r="K2" s="21"/>
      <c r="L2" s="21"/>
      <c r="M2" s="22"/>
      <c r="N2" s="22"/>
      <c r="O2" s="21"/>
      <c r="P2" s="21"/>
      <c r="Q2" s="21"/>
    </row>
    <row r="3" spans="1:17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2"/>
      <c r="O3" s="21"/>
      <c r="P3" s="21"/>
      <c r="Q3" s="21"/>
    </row>
    <row r="4" spans="1:17" ht="22.5" customHeight="1">
      <c r="A4" s="21"/>
      <c r="B4" s="21"/>
      <c r="C4" s="266" t="s">
        <v>70</v>
      </c>
      <c r="D4" s="24" t="s">
        <v>71</v>
      </c>
      <c r="E4" s="25"/>
      <c r="F4" s="25"/>
      <c r="G4" s="25"/>
      <c r="H4" s="25"/>
      <c r="I4" s="25"/>
      <c r="J4" s="26"/>
      <c r="K4" s="21"/>
      <c r="L4" s="21"/>
      <c r="M4" s="22"/>
      <c r="N4" s="22"/>
      <c r="O4" s="21"/>
      <c r="P4" s="21"/>
      <c r="Q4" s="21"/>
    </row>
    <row r="5" spans="1:17" ht="22.5" customHeight="1">
      <c r="A5" s="21"/>
      <c r="B5" s="21"/>
      <c r="C5" s="51" t="s">
        <v>28</v>
      </c>
      <c r="D5" s="27">
        <v>5</v>
      </c>
      <c r="E5" s="286" t="s">
        <v>470</v>
      </c>
      <c r="F5" s="286" t="s">
        <v>476</v>
      </c>
      <c r="G5" s="287" t="s">
        <v>479</v>
      </c>
      <c r="H5" s="287" t="s">
        <v>481</v>
      </c>
      <c r="I5" s="274" t="s">
        <v>483</v>
      </c>
      <c r="J5" s="356" t="s">
        <v>72</v>
      </c>
      <c r="K5" s="21"/>
      <c r="L5" s="21"/>
      <c r="M5" s="22"/>
      <c r="N5" s="22"/>
      <c r="O5" s="21"/>
      <c r="P5" s="21"/>
      <c r="Q5" s="21"/>
    </row>
    <row r="6" spans="1:17" ht="22.5" customHeight="1">
      <c r="A6" s="21"/>
      <c r="B6" s="21"/>
      <c r="C6" s="51" t="s">
        <v>30</v>
      </c>
      <c r="D6" s="27">
        <v>4</v>
      </c>
      <c r="E6" s="275" t="s">
        <v>472</v>
      </c>
      <c r="F6" s="286" t="s">
        <v>477</v>
      </c>
      <c r="G6" s="287" t="s">
        <v>471</v>
      </c>
      <c r="H6" s="287" t="s">
        <v>482</v>
      </c>
      <c r="I6" s="274" t="s">
        <v>484</v>
      </c>
      <c r="J6" s="357"/>
      <c r="K6" s="21"/>
      <c r="L6" s="21"/>
      <c r="M6" s="22"/>
      <c r="N6" s="22"/>
      <c r="O6" s="21"/>
      <c r="P6" s="21"/>
      <c r="Q6" s="21"/>
    </row>
    <row r="7" spans="1:17" ht="22.5" customHeight="1">
      <c r="A7" s="21"/>
      <c r="B7" s="21"/>
      <c r="C7" s="51" t="s">
        <v>32</v>
      </c>
      <c r="D7" s="27">
        <v>3</v>
      </c>
      <c r="E7" s="275" t="s">
        <v>473</v>
      </c>
      <c r="F7" s="286" t="s">
        <v>478</v>
      </c>
      <c r="G7" s="286" t="s">
        <v>480</v>
      </c>
      <c r="H7" s="287" t="s">
        <v>471</v>
      </c>
      <c r="I7" s="287" t="s">
        <v>479</v>
      </c>
      <c r="J7" s="357"/>
      <c r="K7" s="21"/>
      <c r="L7" s="21"/>
      <c r="M7" s="22"/>
      <c r="N7" s="22"/>
      <c r="O7" s="21"/>
      <c r="P7" s="21"/>
      <c r="Q7" s="21"/>
    </row>
    <row r="8" spans="1:17" ht="22.5" customHeight="1">
      <c r="A8" s="21"/>
      <c r="B8" s="21"/>
      <c r="C8" s="51" t="s">
        <v>34</v>
      </c>
      <c r="D8" s="27">
        <v>2</v>
      </c>
      <c r="E8" s="275" t="s">
        <v>474</v>
      </c>
      <c r="F8" s="275" t="s">
        <v>472</v>
      </c>
      <c r="G8" s="286" t="s">
        <v>478</v>
      </c>
      <c r="H8" s="286" t="s">
        <v>477</v>
      </c>
      <c r="I8" s="286" t="s">
        <v>476</v>
      </c>
      <c r="J8" s="357"/>
      <c r="K8" s="21"/>
      <c r="L8" s="21"/>
      <c r="M8" s="22"/>
      <c r="N8" s="22"/>
      <c r="O8" s="21"/>
      <c r="P8" s="21"/>
      <c r="Q8" s="21"/>
    </row>
    <row r="9" spans="1:17" ht="22.5" customHeight="1">
      <c r="A9" s="21"/>
      <c r="B9" s="21"/>
      <c r="C9" s="51" t="s">
        <v>73</v>
      </c>
      <c r="D9" s="27">
        <v>1</v>
      </c>
      <c r="E9" s="275" t="s">
        <v>475</v>
      </c>
      <c r="F9" s="275" t="s">
        <v>474</v>
      </c>
      <c r="G9" s="275" t="s">
        <v>473</v>
      </c>
      <c r="H9" s="275" t="s">
        <v>472</v>
      </c>
      <c r="I9" s="286" t="s">
        <v>470</v>
      </c>
      <c r="J9" s="357"/>
      <c r="K9" s="21"/>
      <c r="L9" s="21"/>
      <c r="M9" s="22"/>
      <c r="N9" s="22"/>
      <c r="O9" s="21"/>
      <c r="P9" s="21"/>
      <c r="Q9" s="21"/>
    </row>
    <row r="10" spans="1:17" ht="22.5" customHeight="1">
      <c r="A10" s="21"/>
      <c r="B10" s="21"/>
      <c r="C10" s="21"/>
      <c r="D10" s="29"/>
      <c r="E10" s="30">
        <v>1</v>
      </c>
      <c r="F10" s="30">
        <v>2</v>
      </c>
      <c r="G10" s="30">
        <v>3</v>
      </c>
      <c r="H10" s="30">
        <v>4</v>
      </c>
      <c r="I10" s="30">
        <v>5</v>
      </c>
      <c r="J10" s="358"/>
      <c r="K10" s="21"/>
      <c r="L10" s="21"/>
      <c r="M10" s="22"/>
      <c r="N10" s="22"/>
      <c r="O10" s="21"/>
      <c r="P10" s="21"/>
      <c r="Q10" s="21"/>
    </row>
    <row r="11" spans="1:17" ht="26.25" customHeight="1">
      <c r="A11" s="21"/>
      <c r="B11" s="21"/>
      <c r="C11" s="21"/>
      <c r="D11" s="31"/>
      <c r="E11" s="52" t="s">
        <v>73</v>
      </c>
      <c r="F11" s="52" t="s">
        <v>34</v>
      </c>
      <c r="G11" s="53" t="s">
        <v>32</v>
      </c>
      <c r="H11" s="53" t="s">
        <v>30</v>
      </c>
      <c r="I11" s="53" t="s">
        <v>28</v>
      </c>
      <c r="J11" s="32"/>
      <c r="K11" s="21"/>
      <c r="L11" s="21"/>
      <c r="M11" s="21"/>
      <c r="N11" s="21"/>
      <c r="O11" s="21"/>
      <c r="P11" s="21"/>
      <c r="Q11" s="21"/>
    </row>
    <row r="12" spans="1:17" ht="56.1" customHeight="1">
      <c r="A12" s="21"/>
      <c r="B12" s="21"/>
      <c r="C12" s="21"/>
      <c r="D12" s="21"/>
      <c r="E12" s="33"/>
      <c r="F12" s="33"/>
      <c r="G12" s="33"/>
      <c r="H12" s="33"/>
      <c r="I12" s="33"/>
      <c r="J12" s="21"/>
      <c r="K12" s="21"/>
      <c r="L12" s="21"/>
      <c r="M12" s="22"/>
      <c r="N12" s="22"/>
      <c r="O12" s="21"/>
      <c r="P12" s="21"/>
      <c r="Q12" s="21"/>
    </row>
    <row r="13" spans="1:17" s="265" customFormat="1" ht="25.05" customHeight="1">
      <c r="A13" s="263"/>
      <c r="B13" s="263"/>
      <c r="C13" s="263"/>
      <c r="D13" s="359" t="s">
        <v>443</v>
      </c>
      <c r="E13" s="360"/>
      <c r="F13" s="360"/>
      <c r="G13" s="361"/>
      <c r="H13" s="359" t="s">
        <v>444</v>
      </c>
      <c r="I13" s="360"/>
      <c r="J13" s="360"/>
      <c r="K13" s="360"/>
      <c r="L13" s="361"/>
      <c r="M13" s="264"/>
      <c r="N13" s="264"/>
      <c r="O13" s="263"/>
      <c r="P13" s="263"/>
      <c r="Q13" s="263"/>
    </row>
    <row r="14" spans="1:17" ht="16.2">
      <c r="A14" s="21"/>
      <c r="B14" s="21"/>
      <c r="C14" s="21"/>
      <c r="D14" s="34" t="s">
        <v>74</v>
      </c>
      <c r="E14" s="351" t="s">
        <v>75</v>
      </c>
      <c r="F14" s="352"/>
      <c r="G14" s="342"/>
      <c r="H14" s="35" t="s">
        <v>74</v>
      </c>
      <c r="I14" s="36">
        <v>4</v>
      </c>
      <c r="J14" s="36" t="s">
        <v>74</v>
      </c>
      <c r="K14" s="36" t="s">
        <v>76</v>
      </c>
      <c r="L14" s="36" t="s">
        <v>77</v>
      </c>
      <c r="M14" s="22"/>
      <c r="N14" s="22"/>
      <c r="O14" s="21"/>
      <c r="P14" s="21"/>
      <c r="Q14" s="21"/>
    </row>
    <row r="15" spans="1:17" ht="16.2">
      <c r="A15" s="21"/>
      <c r="B15" s="21"/>
      <c r="C15" s="21"/>
      <c r="D15" s="37" t="s">
        <v>76</v>
      </c>
      <c r="E15" s="351" t="s">
        <v>78</v>
      </c>
      <c r="F15" s="352"/>
      <c r="G15" s="342"/>
      <c r="H15" s="37" t="s">
        <v>76</v>
      </c>
      <c r="I15" s="36">
        <v>3</v>
      </c>
      <c r="J15" s="36" t="s">
        <v>76</v>
      </c>
      <c r="K15" s="36" t="s">
        <v>77</v>
      </c>
      <c r="L15" s="22"/>
      <c r="M15" s="22"/>
      <c r="N15" s="22"/>
      <c r="O15" s="21"/>
      <c r="P15" s="21"/>
      <c r="Q15" s="21"/>
    </row>
    <row r="16" spans="1:17" ht="16.2">
      <c r="A16" s="21"/>
      <c r="B16" s="21"/>
      <c r="C16" s="21"/>
      <c r="D16" s="28" t="s">
        <v>77</v>
      </c>
      <c r="E16" s="351" t="s">
        <v>79</v>
      </c>
      <c r="F16" s="352"/>
      <c r="G16" s="342"/>
      <c r="H16" s="28" t="s">
        <v>77</v>
      </c>
      <c r="I16" s="36">
        <v>2</v>
      </c>
      <c r="J16" s="36" t="s">
        <v>77</v>
      </c>
      <c r="K16" s="22"/>
      <c r="L16" s="22"/>
      <c r="M16" s="22"/>
      <c r="N16" s="22"/>
      <c r="O16" s="21"/>
      <c r="P16" s="21"/>
      <c r="Q16" s="21"/>
    </row>
    <row r="17" spans="1:17" ht="16.2">
      <c r="A17" s="21"/>
      <c r="B17" s="21"/>
      <c r="C17" s="21"/>
      <c r="D17" s="38" t="s">
        <v>80</v>
      </c>
      <c r="E17" s="351" t="s">
        <v>81</v>
      </c>
      <c r="F17" s="352"/>
      <c r="G17" s="342"/>
      <c r="H17" s="38" t="s">
        <v>80</v>
      </c>
      <c r="I17" s="36">
        <v>1</v>
      </c>
      <c r="J17" s="36" t="s">
        <v>80</v>
      </c>
      <c r="K17" s="22"/>
      <c r="L17" s="22"/>
      <c r="M17" s="22"/>
      <c r="N17" s="22"/>
      <c r="O17" s="21"/>
      <c r="P17" s="21"/>
      <c r="Q17" s="21"/>
    </row>
    <row r="18" spans="1:17" ht="14.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1"/>
      <c r="P18" s="21"/>
      <c r="Q18" s="21"/>
    </row>
    <row r="27" spans="1:17" ht="15" customHeight="1">
      <c r="I27" s="291" t="s">
        <v>485</v>
      </c>
      <c r="J27" s="291" t="s">
        <v>486</v>
      </c>
    </row>
    <row r="28" spans="1:17" ht="15" customHeight="1">
      <c r="D28" s="276" t="s">
        <v>452</v>
      </c>
      <c r="E28" s="276" t="s">
        <v>453</v>
      </c>
      <c r="F28" s="276" t="s">
        <v>454</v>
      </c>
      <c r="I28" s="288" t="s">
        <v>475</v>
      </c>
      <c r="J28" s="289" t="str">
        <f>$H$17</f>
        <v>Accept</v>
      </c>
    </row>
    <row r="29" spans="1:17" ht="15" customHeight="1">
      <c r="D29" s="277" t="s">
        <v>455</v>
      </c>
      <c r="E29" s="278" t="s">
        <v>456</v>
      </c>
      <c r="F29" s="279" t="s">
        <v>457</v>
      </c>
      <c r="I29" s="290" t="s">
        <v>474</v>
      </c>
      <c r="J29" s="289" t="str">
        <f t="shared" ref="J29:J31" si="0">$H$17</f>
        <v>Accept</v>
      </c>
    </row>
    <row r="30" spans="1:17" ht="15" customHeight="1">
      <c r="D30" s="280" t="s">
        <v>458</v>
      </c>
      <c r="E30" s="281" t="s">
        <v>459</v>
      </c>
      <c r="F30" s="279" t="s">
        <v>460</v>
      </c>
      <c r="I30" s="288" t="s">
        <v>473</v>
      </c>
      <c r="J30" s="289" t="str">
        <f t="shared" si="0"/>
        <v>Accept</v>
      </c>
    </row>
    <row r="31" spans="1:17" ht="15" customHeight="1">
      <c r="D31" s="280" t="s">
        <v>461</v>
      </c>
      <c r="E31" s="281" t="s">
        <v>462</v>
      </c>
      <c r="F31" s="279" t="s">
        <v>463</v>
      </c>
      <c r="I31" s="290" t="s">
        <v>472</v>
      </c>
      <c r="J31" s="289" t="str">
        <f t="shared" si="0"/>
        <v>Accept</v>
      </c>
    </row>
    <row r="32" spans="1:17" ht="15" customHeight="1">
      <c r="D32" s="282" t="s">
        <v>464</v>
      </c>
      <c r="E32" s="283" t="s">
        <v>465</v>
      </c>
      <c r="F32" s="279" t="s">
        <v>466</v>
      </c>
      <c r="I32" s="288" t="s">
        <v>470</v>
      </c>
      <c r="J32" s="289" t="str">
        <f>$H$16</f>
        <v>Control</v>
      </c>
    </row>
    <row r="33" spans="4:10" ht="15" customHeight="1">
      <c r="D33" s="284" t="s">
        <v>467</v>
      </c>
      <c r="E33" s="285" t="s">
        <v>468</v>
      </c>
      <c r="F33" s="279" t="s">
        <v>469</v>
      </c>
      <c r="I33" s="290" t="s">
        <v>478</v>
      </c>
      <c r="J33" s="289" t="str">
        <f t="shared" ref="J33:J36" si="1">$H$16</f>
        <v>Control</v>
      </c>
    </row>
    <row r="34" spans="4:10" ht="15" customHeight="1">
      <c r="I34" s="288" t="s">
        <v>477</v>
      </c>
      <c r="J34" s="289" t="str">
        <f t="shared" si="1"/>
        <v>Control</v>
      </c>
    </row>
    <row r="35" spans="4:10" ht="15" customHeight="1">
      <c r="I35" s="290" t="s">
        <v>480</v>
      </c>
      <c r="J35" s="289" t="str">
        <f t="shared" si="1"/>
        <v>Control</v>
      </c>
    </row>
    <row r="36" spans="4:10" ht="15" customHeight="1">
      <c r="I36" s="288" t="s">
        <v>476</v>
      </c>
      <c r="J36" s="289" t="str">
        <f t="shared" si="1"/>
        <v>Control</v>
      </c>
    </row>
    <row r="37" spans="4:10" ht="15" customHeight="1">
      <c r="I37" s="290" t="s">
        <v>471</v>
      </c>
      <c r="J37" s="289" t="str">
        <f>$H$15</f>
        <v>Transfer</v>
      </c>
    </row>
    <row r="38" spans="4:10" ht="15" customHeight="1">
      <c r="I38" s="288" t="s">
        <v>479</v>
      </c>
      <c r="J38" s="289" t="str">
        <f t="shared" ref="J38:J40" si="2">$H$15</f>
        <v>Transfer</v>
      </c>
    </row>
    <row r="39" spans="4:10" ht="15" customHeight="1">
      <c r="I39" s="290" t="s">
        <v>482</v>
      </c>
      <c r="J39" s="289" t="str">
        <f t="shared" si="2"/>
        <v>Transfer</v>
      </c>
    </row>
    <row r="40" spans="4:10" ht="15" customHeight="1">
      <c r="I40" s="303" t="s">
        <v>481</v>
      </c>
      <c r="J40" s="304" t="str">
        <f t="shared" si="2"/>
        <v>Transfer</v>
      </c>
    </row>
    <row r="41" spans="4:10" ht="15" customHeight="1">
      <c r="I41" s="290" t="s">
        <v>484</v>
      </c>
      <c r="J41" s="289" t="str">
        <f>$H$14</f>
        <v>Avoid</v>
      </c>
    </row>
    <row r="42" spans="4:10" ht="15" customHeight="1">
      <c r="I42" s="288" t="s">
        <v>483</v>
      </c>
      <c r="J42" s="289" t="str">
        <f>$H$14</f>
        <v>Avoid</v>
      </c>
    </row>
  </sheetData>
  <mergeCells count="8">
    <mergeCell ref="E15:G15"/>
    <mergeCell ref="E16:G16"/>
    <mergeCell ref="E17:G17"/>
    <mergeCell ref="D2:J2"/>
    <mergeCell ref="J5:J10"/>
    <mergeCell ref="D13:G13"/>
    <mergeCell ref="H13:L13"/>
    <mergeCell ref="E14:G14"/>
  </mergeCells>
  <phoneticPr fontId="60" type="noConversion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  <pageSetUpPr fitToPage="1"/>
  </sheetPr>
  <dimension ref="A1:AA74"/>
  <sheetViews>
    <sheetView tabSelected="1" zoomScale="40" zoomScaleNormal="40" zoomScaleSheetLayoutView="50" workbookViewId="0">
      <pane xSplit="3" ySplit="3" topLeftCell="D13" activePane="bottomRight" state="frozen"/>
      <selection pane="topRight" activeCell="D1" sqref="D1"/>
      <selection pane="bottomLeft" activeCell="A4" sqref="A4"/>
      <selection pane="bottomRight" sqref="A1:XFD1048576"/>
    </sheetView>
  </sheetViews>
  <sheetFormatPr defaultColWidth="14.44140625" defaultRowHeight="22.8"/>
  <cols>
    <col min="1" max="1" width="11" style="41" bestFit="1" customWidth="1"/>
    <col min="2" max="2" width="29.88671875" style="41" bestFit="1" customWidth="1"/>
    <col min="3" max="3" width="15.6640625" style="41" customWidth="1"/>
    <col min="4" max="4" width="21.77734375" style="41" bestFit="1" customWidth="1"/>
    <col min="5" max="5" width="122.21875" style="41" bestFit="1" customWidth="1"/>
    <col min="6" max="6" width="130.44140625" style="41" bestFit="1" customWidth="1"/>
    <col min="7" max="7" width="3.77734375" style="41" bestFit="1" customWidth="1"/>
    <col min="8" max="8" width="4.33203125" style="41" bestFit="1" customWidth="1"/>
    <col min="9" max="10" width="4" style="41" bestFit="1" customWidth="1"/>
    <col min="11" max="11" width="3.77734375" style="41" bestFit="1" customWidth="1"/>
    <col min="12" max="12" width="24.88671875" style="41" bestFit="1" customWidth="1"/>
    <col min="13" max="13" width="20.6640625" style="41" bestFit="1" customWidth="1"/>
    <col min="14" max="14" width="12.88671875" style="41" bestFit="1" customWidth="1"/>
    <col min="15" max="15" width="24.88671875" style="41" bestFit="1" customWidth="1"/>
    <col min="16" max="16" width="130.44140625" style="41" bestFit="1" customWidth="1"/>
    <col min="17" max="17" width="29.33203125" style="41" bestFit="1" customWidth="1"/>
    <col min="18" max="18" width="13.21875" style="41" bestFit="1" customWidth="1"/>
    <col min="19" max="19" width="3.77734375" style="41" bestFit="1" customWidth="1"/>
    <col min="20" max="20" width="4.33203125" style="41" bestFit="1" customWidth="1"/>
    <col min="21" max="22" width="4" style="41" bestFit="1" customWidth="1"/>
    <col min="23" max="23" width="3.77734375" style="41" bestFit="1" customWidth="1"/>
    <col min="24" max="24" width="24.88671875" style="41" bestFit="1" customWidth="1"/>
    <col min="25" max="25" width="20.6640625" style="41" bestFit="1" customWidth="1"/>
    <col min="26" max="26" width="10.109375" style="41" bestFit="1" customWidth="1"/>
    <col min="27" max="27" width="28" style="41" bestFit="1" customWidth="1"/>
    <col min="28" max="16384" width="14.44140625" style="41"/>
  </cols>
  <sheetData>
    <row r="1" spans="1:27" ht="225.6">
      <c r="A1" s="374" t="s">
        <v>342</v>
      </c>
      <c r="B1" s="122" t="s">
        <v>343</v>
      </c>
      <c r="C1" s="123" t="s">
        <v>334</v>
      </c>
      <c r="D1" s="123" t="s">
        <v>344</v>
      </c>
      <c r="E1" s="125" t="s">
        <v>345</v>
      </c>
      <c r="F1" s="125" t="s">
        <v>346</v>
      </c>
      <c r="G1" s="362" t="s">
        <v>347</v>
      </c>
      <c r="H1" s="363"/>
      <c r="I1" s="363"/>
      <c r="J1" s="363"/>
      <c r="K1" s="363"/>
      <c r="L1" s="363"/>
      <c r="M1" s="364"/>
      <c r="N1" s="124" t="s">
        <v>348</v>
      </c>
      <c r="O1" s="124" t="s">
        <v>333</v>
      </c>
      <c r="P1" s="126" t="s">
        <v>349</v>
      </c>
      <c r="Q1" s="57" t="s">
        <v>350</v>
      </c>
      <c r="R1" s="57" t="s">
        <v>82</v>
      </c>
      <c r="S1" s="365" t="s">
        <v>351</v>
      </c>
      <c r="T1" s="366"/>
      <c r="U1" s="366"/>
      <c r="V1" s="366"/>
      <c r="W1" s="366"/>
      <c r="X1" s="366"/>
      <c r="Y1" s="367"/>
      <c r="Z1" s="58" t="s">
        <v>83</v>
      </c>
      <c r="AA1" s="127" t="s">
        <v>352</v>
      </c>
    </row>
    <row r="2" spans="1:27" ht="68.400000000000006">
      <c r="A2" s="375"/>
      <c r="B2" s="59"/>
      <c r="C2" s="60"/>
      <c r="D2" s="61"/>
      <c r="E2" s="60"/>
      <c r="F2" s="60"/>
      <c r="G2" s="368" t="s">
        <v>24</v>
      </c>
      <c r="H2" s="369"/>
      <c r="I2" s="369"/>
      <c r="J2" s="369"/>
      <c r="K2" s="370"/>
      <c r="L2" s="267" t="s">
        <v>84</v>
      </c>
      <c r="M2" s="268" t="s">
        <v>353</v>
      </c>
      <c r="N2" s="60"/>
      <c r="O2" s="61"/>
      <c r="P2" s="60"/>
      <c r="Q2" s="60"/>
      <c r="R2" s="60"/>
      <c r="S2" s="371" t="s">
        <v>24</v>
      </c>
      <c r="T2" s="372"/>
      <c r="U2" s="372"/>
      <c r="V2" s="372"/>
      <c r="W2" s="373"/>
      <c r="X2" s="58" t="s">
        <v>84</v>
      </c>
      <c r="Y2" s="58" t="s">
        <v>353</v>
      </c>
      <c r="Z2" s="62"/>
      <c r="AA2" s="128"/>
    </row>
    <row r="3" spans="1:27" ht="23.4" thickBot="1">
      <c r="A3" s="376"/>
      <c r="B3" s="63"/>
      <c r="C3" s="64"/>
      <c r="D3" s="65"/>
      <c r="E3" s="64"/>
      <c r="F3" s="64"/>
      <c r="G3" s="66" t="s">
        <v>85</v>
      </c>
      <c r="H3" s="66" t="s">
        <v>86</v>
      </c>
      <c r="I3" s="66" t="s">
        <v>87</v>
      </c>
      <c r="J3" s="66" t="s">
        <v>88</v>
      </c>
      <c r="K3" s="66" t="s">
        <v>89</v>
      </c>
      <c r="L3" s="64"/>
      <c r="M3" s="64"/>
      <c r="N3" s="64"/>
      <c r="O3" s="65"/>
      <c r="P3" s="64"/>
      <c r="Q3" s="64"/>
      <c r="R3" s="64"/>
      <c r="S3" s="67" t="s">
        <v>85</v>
      </c>
      <c r="T3" s="67" t="s">
        <v>86</v>
      </c>
      <c r="U3" s="67" t="s">
        <v>87</v>
      </c>
      <c r="V3" s="67" t="s">
        <v>88</v>
      </c>
      <c r="W3" s="67" t="s">
        <v>89</v>
      </c>
      <c r="X3" s="68"/>
      <c r="Y3" s="68"/>
      <c r="Z3" s="68"/>
      <c r="AA3" s="129"/>
    </row>
    <row r="4" spans="1:27" ht="45.6">
      <c r="A4" s="69">
        <v>1</v>
      </c>
      <c r="B4" s="70" t="s">
        <v>90</v>
      </c>
      <c r="C4" s="70" t="s">
        <v>90</v>
      </c>
      <c r="D4" s="71" t="s">
        <v>336</v>
      </c>
      <c r="E4" s="72" t="s">
        <v>492</v>
      </c>
      <c r="F4" s="72" t="s">
        <v>450</v>
      </c>
      <c r="G4" s="73">
        <v>2</v>
      </c>
      <c r="H4" s="269">
        <v>1</v>
      </c>
      <c r="I4" s="73">
        <v>1</v>
      </c>
      <c r="J4" s="73">
        <v>1</v>
      </c>
      <c r="K4" s="73">
        <v>4</v>
      </c>
      <c r="L4" s="269">
        <f>IFERROR(MAX(G4:K4),"")</f>
        <v>4</v>
      </c>
      <c r="M4" s="73">
        <v>1</v>
      </c>
      <c r="N4" s="74" t="str">
        <f>IF(ISBLANK(L4),"",VLOOKUP(L4,'2_Risk_Criteria'!$D$4:$I$9,M4+1,0))</f>
        <v>L4</v>
      </c>
      <c r="O4" s="74" t="str">
        <f>VLOOKUP(N4,'2_Risk_Criteria'!$I$28:$J$42,2,0)</f>
        <v>Accept</v>
      </c>
      <c r="P4" s="75" t="s">
        <v>493</v>
      </c>
      <c r="Q4" s="70"/>
      <c r="R4" s="76"/>
      <c r="S4" s="73">
        <v>1</v>
      </c>
      <c r="T4" s="73">
        <v>1</v>
      </c>
      <c r="U4" s="73">
        <v>1</v>
      </c>
      <c r="V4" s="73">
        <v>1</v>
      </c>
      <c r="W4" s="73">
        <v>1</v>
      </c>
      <c r="X4" s="73">
        <f>IFERROR(MAX(S4:W4),"")</f>
        <v>1</v>
      </c>
      <c r="Y4" s="73">
        <v>1</v>
      </c>
      <c r="Z4" s="77" t="str">
        <f>IF(OR(ISBLANK(L4),ISBLANK(l)),"",VLOOKUP(X4-0,'2_Risk_Criteria'!$D$4:$I$9,Y4+1,0))</f>
        <v>L1</v>
      </c>
      <c r="AA4" s="78"/>
    </row>
    <row r="5" spans="1:27" ht="91.2">
      <c r="A5" s="74">
        <v>2</v>
      </c>
      <c r="B5" s="70" t="s">
        <v>90</v>
      </c>
      <c r="C5" s="70" t="s">
        <v>90</v>
      </c>
      <c r="D5" s="71" t="s">
        <v>93</v>
      </c>
      <c r="E5" s="72" t="s">
        <v>494</v>
      </c>
      <c r="F5" s="72" t="s">
        <v>451</v>
      </c>
      <c r="G5" s="73">
        <v>1</v>
      </c>
      <c r="H5" s="269">
        <v>3</v>
      </c>
      <c r="I5" s="73">
        <v>2</v>
      </c>
      <c r="J5" s="269">
        <v>3</v>
      </c>
      <c r="K5" s="73">
        <v>2</v>
      </c>
      <c r="L5" s="269">
        <f t="shared" ref="L5:L68" si="0">IFERROR(MAX(G5:K5),"")</f>
        <v>3</v>
      </c>
      <c r="M5" s="73">
        <v>1</v>
      </c>
      <c r="N5" s="74" t="str">
        <f>IF(ISBLANK(L5),"",VLOOKUP(L5,'2_Risk_Criteria'!$D$4:$I$9,M5+1,0))</f>
        <v>L3</v>
      </c>
      <c r="O5" s="74" t="str">
        <f>VLOOKUP(N5,'2_Risk_Criteria'!$I$28:$J$42,2,0)</f>
        <v>Accept</v>
      </c>
      <c r="P5" s="75" t="s">
        <v>94</v>
      </c>
      <c r="Q5" s="70"/>
      <c r="R5" s="76"/>
      <c r="S5" s="71">
        <v>1</v>
      </c>
      <c r="T5" s="71">
        <v>1</v>
      </c>
      <c r="U5" s="71">
        <v>1</v>
      </c>
      <c r="V5" s="71">
        <v>1</v>
      </c>
      <c r="W5" s="71">
        <v>1</v>
      </c>
      <c r="X5" s="71">
        <f t="shared" ref="X5:X68" si="1">IFERROR(MAX(S5:W5),"")</f>
        <v>1</v>
      </c>
      <c r="Y5" s="71">
        <v>1</v>
      </c>
      <c r="Z5" s="79" t="str">
        <f>IF(OR(ISBLANK(L5),ISBLANK(l)),"",VLOOKUP(X5-0,'2_Risk_Criteria'!$D$4:$I$9,Y5+1,0))</f>
        <v>L1</v>
      </c>
      <c r="AA5" s="80"/>
    </row>
    <row r="6" spans="1:27" ht="114">
      <c r="A6" s="69">
        <v>3</v>
      </c>
      <c r="B6" s="70" t="s">
        <v>90</v>
      </c>
      <c r="C6" s="70" t="s">
        <v>90</v>
      </c>
      <c r="D6" s="71" t="s">
        <v>93</v>
      </c>
      <c r="E6" s="72" t="s">
        <v>495</v>
      </c>
      <c r="F6" s="72" t="s">
        <v>95</v>
      </c>
      <c r="G6" s="73">
        <v>1</v>
      </c>
      <c r="H6" s="73">
        <v>2</v>
      </c>
      <c r="I6" s="73">
        <v>1</v>
      </c>
      <c r="J6" s="73">
        <v>1</v>
      </c>
      <c r="K6" s="73">
        <v>2</v>
      </c>
      <c r="L6" s="73">
        <f t="shared" si="0"/>
        <v>2</v>
      </c>
      <c r="M6" s="73">
        <v>5</v>
      </c>
      <c r="N6" s="74" t="str">
        <f>IF(ISBLANK(L6),"",VLOOKUP(L6,'2_Risk_Criteria'!$D$4:$I$9,M6+1,0))</f>
        <v>M10</v>
      </c>
      <c r="O6" s="71" t="str">
        <f>VLOOKUP(N6,'2_Risk_Criteria'!$I$28:$J$42,2,0)</f>
        <v>Control</v>
      </c>
      <c r="P6" s="75" t="s">
        <v>97</v>
      </c>
      <c r="Q6" s="70"/>
      <c r="R6" s="74"/>
      <c r="S6" s="71">
        <v>1</v>
      </c>
      <c r="T6" s="71">
        <v>1</v>
      </c>
      <c r="U6" s="71">
        <v>1</v>
      </c>
      <c r="V6" s="71">
        <v>1</v>
      </c>
      <c r="W6" s="71">
        <v>1</v>
      </c>
      <c r="X6" s="71">
        <f t="shared" si="1"/>
        <v>1</v>
      </c>
      <c r="Y6" s="71">
        <v>1</v>
      </c>
      <c r="Z6" s="79" t="str">
        <f>IF(OR(ISBLANK(L6),ISBLANK(l)),"",VLOOKUP(X6-0,'2_Risk_Criteria'!$D$4:$I$9,Y6+1,0))</f>
        <v>L1</v>
      </c>
      <c r="AA6" s="80"/>
    </row>
    <row r="7" spans="1:27" ht="91.2">
      <c r="A7" s="74">
        <v>4</v>
      </c>
      <c r="B7" s="70" t="s">
        <v>90</v>
      </c>
      <c r="C7" s="70" t="s">
        <v>90</v>
      </c>
      <c r="D7" s="71" t="s">
        <v>93</v>
      </c>
      <c r="E7" s="72" t="s">
        <v>496</v>
      </c>
      <c r="F7" s="72" t="s">
        <v>98</v>
      </c>
      <c r="G7" s="73">
        <v>1</v>
      </c>
      <c r="H7" s="73">
        <v>3</v>
      </c>
      <c r="I7" s="73">
        <v>2</v>
      </c>
      <c r="J7" s="73">
        <v>1</v>
      </c>
      <c r="K7" s="73">
        <v>1</v>
      </c>
      <c r="L7" s="73">
        <f t="shared" si="0"/>
        <v>3</v>
      </c>
      <c r="M7" s="73">
        <v>4</v>
      </c>
      <c r="N7" s="74" t="str">
        <f>IF(ISBLANK(L7),"",VLOOKUP(L7,'2_Risk_Criteria'!$D$4:$I$9,M7+1,0))</f>
        <v>H12</v>
      </c>
      <c r="O7" s="71" t="str">
        <f>VLOOKUP(N7,'2_Risk_Criteria'!$I$28:$J$42,2,0)</f>
        <v>Transfer</v>
      </c>
      <c r="P7" s="75" t="s">
        <v>94</v>
      </c>
      <c r="Q7" s="70"/>
      <c r="R7" s="76"/>
      <c r="S7" s="71">
        <v>1</v>
      </c>
      <c r="T7" s="71">
        <v>2</v>
      </c>
      <c r="U7" s="71">
        <v>2</v>
      </c>
      <c r="V7" s="71">
        <v>1</v>
      </c>
      <c r="W7" s="71">
        <v>1</v>
      </c>
      <c r="X7" s="71">
        <f t="shared" si="1"/>
        <v>2</v>
      </c>
      <c r="Y7" s="71">
        <v>2</v>
      </c>
      <c r="Z7" s="79" t="str">
        <f>IF(OR(ISBLANK(L7),ISBLANK(l)),"",VLOOKUP(X7-0,'2_Risk_Criteria'!$D$4:$I$9,Y7+1,0))</f>
        <v>L4</v>
      </c>
      <c r="AA7" s="80"/>
    </row>
    <row r="8" spans="1:27" ht="136.80000000000001">
      <c r="A8" s="69">
        <v>5</v>
      </c>
      <c r="B8" s="70" t="s">
        <v>90</v>
      </c>
      <c r="C8" s="70" t="s">
        <v>90</v>
      </c>
      <c r="D8" s="71" t="s">
        <v>99</v>
      </c>
      <c r="E8" s="81" t="s">
        <v>497</v>
      </c>
      <c r="F8" s="72" t="s">
        <v>100</v>
      </c>
      <c r="G8" s="73">
        <v>1</v>
      </c>
      <c r="H8" s="73">
        <v>3</v>
      </c>
      <c r="I8" s="73">
        <v>2</v>
      </c>
      <c r="J8" s="73">
        <v>1</v>
      </c>
      <c r="K8" s="73">
        <v>1</v>
      </c>
      <c r="L8" s="73">
        <f t="shared" si="0"/>
        <v>3</v>
      </c>
      <c r="M8" s="73">
        <v>2</v>
      </c>
      <c r="N8" s="74" t="str">
        <f>IF(ISBLANK(L8),"",VLOOKUP(L8,'2_Risk_Criteria'!$D$4:$I$9,M8+1,0))</f>
        <v>M6</v>
      </c>
      <c r="O8" s="71" t="str">
        <f>VLOOKUP(N8,'2_Risk_Criteria'!$I$28:$J$42,2,0)</f>
        <v>Control</v>
      </c>
      <c r="P8" s="75" t="s">
        <v>101</v>
      </c>
      <c r="Q8" s="70"/>
      <c r="R8" s="76"/>
      <c r="S8" s="71">
        <v>1</v>
      </c>
      <c r="T8" s="71">
        <v>2</v>
      </c>
      <c r="U8" s="71">
        <v>1</v>
      </c>
      <c r="V8" s="71">
        <v>1</v>
      </c>
      <c r="W8" s="71">
        <v>1</v>
      </c>
      <c r="X8" s="71">
        <f t="shared" si="1"/>
        <v>2</v>
      </c>
      <c r="Y8" s="71">
        <v>1</v>
      </c>
      <c r="Z8" s="79" t="str">
        <f>IF(OR(ISBLANK(L8),ISBLANK(l)),"",VLOOKUP(X8-0,'2_Risk_Criteria'!$D$4:$I$9,Y8+1,0))</f>
        <v>L2</v>
      </c>
      <c r="AA8" s="80"/>
    </row>
    <row r="9" spans="1:27" ht="91.2">
      <c r="A9" s="74">
        <v>6</v>
      </c>
      <c r="B9" s="70" t="s">
        <v>90</v>
      </c>
      <c r="C9" s="70" t="s">
        <v>90</v>
      </c>
      <c r="D9" s="71" t="s">
        <v>93</v>
      </c>
      <c r="E9" s="72" t="s">
        <v>498</v>
      </c>
      <c r="F9" s="72" t="s">
        <v>522</v>
      </c>
      <c r="G9" s="73">
        <v>1</v>
      </c>
      <c r="H9" s="73">
        <v>3</v>
      </c>
      <c r="I9" s="73">
        <v>2</v>
      </c>
      <c r="J9" s="73">
        <v>1</v>
      </c>
      <c r="K9" s="73">
        <v>1</v>
      </c>
      <c r="L9" s="73">
        <f t="shared" si="0"/>
        <v>3</v>
      </c>
      <c r="M9" s="73">
        <v>1</v>
      </c>
      <c r="N9" s="74" t="str">
        <f>IF(ISBLANK(L9),"",VLOOKUP(L9,'2_Risk_Criteria'!$D$4:$I$9,M9+1,0))</f>
        <v>L3</v>
      </c>
      <c r="O9" s="71" t="str">
        <f>VLOOKUP(N9,'2_Risk_Criteria'!$I$28:$J$42,2,0)</f>
        <v>Accept</v>
      </c>
      <c r="P9" s="75" t="s">
        <v>354</v>
      </c>
      <c r="Q9" s="70"/>
      <c r="R9" s="76"/>
      <c r="S9" s="71">
        <v>1</v>
      </c>
      <c r="T9" s="71">
        <v>2</v>
      </c>
      <c r="U9" s="71">
        <v>2</v>
      </c>
      <c r="V9" s="71">
        <v>1</v>
      </c>
      <c r="W9" s="71">
        <v>1</v>
      </c>
      <c r="X9" s="71">
        <f t="shared" si="1"/>
        <v>2</v>
      </c>
      <c r="Y9" s="71">
        <v>1</v>
      </c>
      <c r="Z9" s="79" t="str">
        <f>IF(OR(ISBLANK(L9),ISBLANK(l)),"",VLOOKUP(X9-0,'2_Risk_Criteria'!$D$4:$I$9,Y9+1,0))</f>
        <v>L2</v>
      </c>
      <c r="AA9" s="80"/>
    </row>
    <row r="10" spans="1:27" ht="182.4">
      <c r="A10" s="69">
        <v>7</v>
      </c>
      <c r="B10" s="70" t="s">
        <v>102</v>
      </c>
      <c r="C10" s="70" t="s">
        <v>102</v>
      </c>
      <c r="D10" s="76" t="s">
        <v>88</v>
      </c>
      <c r="E10" s="72" t="s">
        <v>355</v>
      </c>
      <c r="F10" s="72" t="s">
        <v>103</v>
      </c>
      <c r="G10" s="76">
        <v>3</v>
      </c>
      <c r="H10" s="76">
        <v>3</v>
      </c>
      <c r="I10" s="76">
        <v>3</v>
      </c>
      <c r="J10" s="76">
        <v>1</v>
      </c>
      <c r="K10" s="76">
        <v>2</v>
      </c>
      <c r="L10" s="76">
        <f t="shared" si="0"/>
        <v>3</v>
      </c>
      <c r="M10" s="76">
        <v>1</v>
      </c>
      <c r="N10" s="74" t="str">
        <f>IF(ISBLANK(L10),"",VLOOKUP(L10,'2_Risk_Criteria'!$D$4:$I$9,M10+1,0))</f>
        <v>L3</v>
      </c>
      <c r="O10" s="71" t="str">
        <f>VLOOKUP(N10,'2_Risk_Criteria'!$I$28:$J$42,2,0)</f>
        <v>Accept</v>
      </c>
      <c r="P10" s="75" t="s">
        <v>356</v>
      </c>
      <c r="Q10" s="70"/>
      <c r="R10" s="74"/>
      <c r="S10" s="82">
        <v>2</v>
      </c>
      <c r="T10" s="82">
        <v>2</v>
      </c>
      <c r="U10" s="82">
        <v>2</v>
      </c>
      <c r="V10" s="82">
        <v>1</v>
      </c>
      <c r="W10" s="82">
        <v>1</v>
      </c>
      <c r="X10" s="82">
        <f t="shared" si="1"/>
        <v>2</v>
      </c>
      <c r="Y10" s="82">
        <v>1</v>
      </c>
      <c r="Z10" s="79" t="str">
        <f>IF(OR(ISBLANK(L10),ISBLANK(l)),"",VLOOKUP(X10-0,'2_Risk_Criteria'!$D$4:$I$9,Y10+1,0))</f>
        <v>L2</v>
      </c>
      <c r="AA10" s="80"/>
    </row>
    <row r="11" spans="1:27" ht="182.4">
      <c r="A11" s="74">
        <v>8</v>
      </c>
      <c r="B11" s="70" t="s">
        <v>102</v>
      </c>
      <c r="C11" s="70" t="s">
        <v>102</v>
      </c>
      <c r="D11" s="76" t="s">
        <v>88</v>
      </c>
      <c r="E11" s="72" t="s">
        <v>104</v>
      </c>
      <c r="F11" s="70" t="s">
        <v>391</v>
      </c>
      <c r="G11" s="76">
        <v>1</v>
      </c>
      <c r="H11" s="76">
        <v>2</v>
      </c>
      <c r="I11" s="76">
        <v>2</v>
      </c>
      <c r="J11" s="76">
        <v>1</v>
      </c>
      <c r="K11" s="76">
        <v>1</v>
      </c>
      <c r="L11" s="76">
        <f t="shared" si="0"/>
        <v>2</v>
      </c>
      <c r="M11" s="76">
        <v>1</v>
      </c>
      <c r="N11" s="74" t="str">
        <f>IF(ISBLANK(L11),"",VLOOKUP(L11,'2_Risk_Criteria'!$D$4:$I$9,M11+1,0))</f>
        <v>L2</v>
      </c>
      <c r="O11" s="71" t="str">
        <f>VLOOKUP(N11,'2_Risk_Criteria'!$I$28:$J$42,2,0)</f>
        <v>Accept</v>
      </c>
      <c r="P11" s="75" t="s">
        <v>356</v>
      </c>
      <c r="Q11" s="70"/>
      <c r="R11" s="74"/>
      <c r="S11" s="82">
        <v>1</v>
      </c>
      <c r="T11" s="82">
        <v>2</v>
      </c>
      <c r="U11" s="82">
        <v>1</v>
      </c>
      <c r="V11" s="82">
        <v>1</v>
      </c>
      <c r="W11" s="82">
        <v>1</v>
      </c>
      <c r="X11" s="82">
        <f t="shared" si="1"/>
        <v>2</v>
      </c>
      <c r="Y11" s="82">
        <v>1</v>
      </c>
      <c r="Z11" s="79" t="str">
        <f>IF(OR(ISBLANK(L11),ISBLANK(l)),"",VLOOKUP(X11-0,'2_Risk_Criteria'!$D$4:$I$9,Y11+1,0))</f>
        <v>L2</v>
      </c>
      <c r="AA11" s="80"/>
    </row>
    <row r="12" spans="1:27" ht="182.4">
      <c r="A12" s="69">
        <v>9</v>
      </c>
      <c r="B12" s="70" t="s">
        <v>102</v>
      </c>
      <c r="C12" s="70" t="s">
        <v>102</v>
      </c>
      <c r="D12" s="76" t="s">
        <v>88</v>
      </c>
      <c r="E12" s="72" t="s">
        <v>105</v>
      </c>
      <c r="F12" s="70" t="s">
        <v>392</v>
      </c>
      <c r="G12" s="76">
        <v>1</v>
      </c>
      <c r="H12" s="76">
        <v>2</v>
      </c>
      <c r="I12" s="76">
        <v>2</v>
      </c>
      <c r="J12" s="76">
        <v>1</v>
      </c>
      <c r="K12" s="76">
        <v>1</v>
      </c>
      <c r="L12" s="76">
        <f t="shared" si="0"/>
        <v>2</v>
      </c>
      <c r="M12" s="76">
        <v>1</v>
      </c>
      <c r="N12" s="74" t="str">
        <f>IF(ISBLANK(L12),"",VLOOKUP(L12,'2_Risk_Criteria'!$D$4:$I$9,M12+1,0))</f>
        <v>L2</v>
      </c>
      <c r="O12" s="71" t="str">
        <f>VLOOKUP(N12,'2_Risk_Criteria'!$I$28:$J$42,2,0)</f>
        <v>Accept</v>
      </c>
      <c r="P12" s="75" t="s">
        <v>356</v>
      </c>
      <c r="Q12" s="70"/>
      <c r="R12" s="74"/>
      <c r="S12" s="74">
        <v>1</v>
      </c>
      <c r="T12" s="74">
        <v>2</v>
      </c>
      <c r="U12" s="74">
        <v>1</v>
      </c>
      <c r="V12" s="74">
        <v>1</v>
      </c>
      <c r="W12" s="74">
        <v>1</v>
      </c>
      <c r="X12" s="82">
        <f t="shared" si="1"/>
        <v>2</v>
      </c>
      <c r="Y12" s="82">
        <v>1</v>
      </c>
      <c r="Z12" s="79" t="str">
        <f>IF(OR(ISBLANK(L12),ISBLANK(l)),"",VLOOKUP(X12-0,'2_Risk_Criteria'!$D$4:$I$9,Y12+1,0))</f>
        <v>L2</v>
      </c>
      <c r="AA12" s="80"/>
    </row>
    <row r="13" spans="1:27" ht="91.2">
      <c r="A13" s="74">
        <v>10</v>
      </c>
      <c r="B13" s="70" t="s">
        <v>102</v>
      </c>
      <c r="C13" s="70" t="s">
        <v>102</v>
      </c>
      <c r="D13" s="76" t="s">
        <v>88</v>
      </c>
      <c r="E13" s="72" t="s">
        <v>357</v>
      </c>
      <c r="F13" s="70" t="s">
        <v>393</v>
      </c>
      <c r="G13" s="76">
        <v>2</v>
      </c>
      <c r="H13" s="76">
        <v>2</v>
      </c>
      <c r="I13" s="76">
        <v>2</v>
      </c>
      <c r="J13" s="76">
        <v>1</v>
      </c>
      <c r="K13" s="76">
        <v>1</v>
      </c>
      <c r="L13" s="76">
        <f t="shared" si="0"/>
        <v>2</v>
      </c>
      <c r="M13" s="76">
        <v>1</v>
      </c>
      <c r="N13" s="74" t="str">
        <f>IF(ISBLANK(L13),"",VLOOKUP(L13,'2_Risk_Criteria'!$D$4:$I$9,M13+1,0))</f>
        <v>L2</v>
      </c>
      <c r="O13" s="71" t="str">
        <f>VLOOKUP(N13,'2_Risk_Criteria'!$I$28:$J$42,2,0)</f>
        <v>Accept</v>
      </c>
      <c r="P13" s="75" t="s">
        <v>358</v>
      </c>
      <c r="Q13" s="70"/>
      <c r="R13" s="71"/>
      <c r="S13" s="74">
        <v>1</v>
      </c>
      <c r="T13" s="74">
        <v>2</v>
      </c>
      <c r="U13" s="74">
        <v>2</v>
      </c>
      <c r="V13" s="74">
        <v>1</v>
      </c>
      <c r="W13" s="74">
        <v>1</v>
      </c>
      <c r="X13" s="82">
        <f t="shared" si="1"/>
        <v>2</v>
      </c>
      <c r="Y13" s="82">
        <v>1</v>
      </c>
      <c r="Z13" s="79" t="str">
        <f>IF(OR(ISBLANK(L13),ISBLANK(l)),"",VLOOKUP(X13-0,'2_Risk_Criteria'!$D$4:$I$9,Y13+1,0))</f>
        <v>L2</v>
      </c>
      <c r="AA13" s="80"/>
    </row>
    <row r="14" spans="1:27" ht="114">
      <c r="A14" s="69">
        <v>11</v>
      </c>
      <c r="B14" s="70" t="s">
        <v>102</v>
      </c>
      <c r="C14" s="70" t="s">
        <v>102</v>
      </c>
      <c r="D14" s="76" t="s">
        <v>88</v>
      </c>
      <c r="E14" s="72" t="s">
        <v>106</v>
      </c>
      <c r="F14" s="70" t="s">
        <v>394</v>
      </c>
      <c r="G14" s="76">
        <v>1</v>
      </c>
      <c r="H14" s="76">
        <v>1</v>
      </c>
      <c r="I14" s="76">
        <v>1</v>
      </c>
      <c r="J14" s="76">
        <v>1</v>
      </c>
      <c r="K14" s="76">
        <v>1</v>
      </c>
      <c r="L14" s="76">
        <f t="shared" si="0"/>
        <v>1</v>
      </c>
      <c r="M14" s="76">
        <v>2</v>
      </c>
      <c r="N14" s="74" t="str">
        <f>IF(ISBLANK(L14),"",VLOOKUP(L14,'2_Risk_Criteria'!$D$4:$I$9,M14+1,0))</f>
        <v>L2</v>
      </c>
      <c r="O14" s="76" t="str">
        <f>VLOOKUP(N14,'2_Risk_Criteria'!$I$28:$J$42,2,0)</f>
        <v>Accept</v>
      </c>
      <c r="P14" s="75" t="s">
        <v>359</v>
      </c>
      <c r="Q14" s="70"/>
      <c r="R14" s="76"/>
      <c r="S14" s="74">
        <v>1</v>
      </c>
      <c r="T14" s="74">
        <v>1</v>
      </c>
      <c r="U14" s="74">
        <v>1</v>
      </c>
      <c r="V14" s="74">
        <v>1</v>
      </c>
      <c r="W14" s="74">
        <v>1</v>
      </c>
      <c r="X14" s="82">
        <f t="shared" si="1"/>
        <v>1</v>
      </c>
      <c r="Y14" s="82">
        <v>2</v>
      </c>
      <c r="Z14" s="79" t="str">
        <f>IF(OR(ISBLANK(L14),ISBLANK(l)),"",VLOOKUP(X14-0,'2_Risk_Criteria'!$D$4:$I$9,Y14+1,0))</f>
        <v>L2</v>
      </c>
      <c r="AA14" s="80"/>
    </row>
    <row r="15" spans="1:27" ht="45.6">
      <c r="A15" s="74">
        <v>12</v>
      </c>
      <c r="B15" s="70" t="s">
        <v>102</v>
      </c>
      <c r="C15" s="70" t="s">
        <v>102</v>
      </c>
      <c r="D15" s="76" t="s">
        <v>88</v>
      </c>
      <c r="E15" s="72" t="s">
        <v>360</v>
      </c>
      <c r="F15" s="72" t="s">
        <v>107</v>
      </c>
      <c r="G15" s="76">
        <v>1</v>
      </c>
      <c r="H15" s="76">
        <v>2</v>
      </c>
      <c r="I15" s="76">
        <v>2</v>
      </c>
      <c r="J15" s="76">
        <v>1</v>
      </c>
      <c r="K15" s="76">
        <v>1</v>
      </c>
      <c r="L15" s="76">
        <f t="shared" si="0"/>
        <v>2</v>
      </c>
      <c r="M15" s="76">
        <v>1</v>
      </c>
      <c r="N15" s="74" t="str">
        <f>IF(ISBLANK(L15),"",VLOOKUP(L15,'2_Risk_Criteria'!$D$4:$I$9,M15+1,0))</f>
        <v>L2</v>
      </c>
      <c r="O15" s="76" t="str">
        <f>VLOOKUP(N15,'2_Risk_Criteria'!$I$28:$J$42,2,0)</f>
        <v>Accept</v>
      </c>
      <c r="P15" s="75" t="s">
        <v>107</v>
      </c>
      <c r="Q15" s="70"/>
      <c r="R15" s="76"/>
      <c r="S15" s="74">
        <v>1</v>
      </c>
      <c r="T15" s="74">
        <v>2</v>
      </c>
      <c r="U15" s="74">
        <v>2</v>
      </c>
      <c r="V15" s="74">
        <v>1</v>
      </c>
      <c r="W15" s="74">
        <v>1</v>
      </c>
      <c r="X15" s="82">
        <f t="shared" si="1"/>
        <v>2</v>
      </c>
      <c r="Y15" s="82">
        <v>1</v>
      </c>
      <c r="Z15" s="79" t="str">
        <f>IF(OR(ISBLANK(L15),ISBLANK(l)),"",VLOOKUP(X15-0,'2_Risk_Criteria'!$D$4:$I$9,Y15+1,0))</f>
        <v>L2</v>
      </c>
      <c r="AA15" s="80"/>
    </row>
    <row r="16" spans="1:27" ht="45.6">
      <c r="A16" s="69">
        <v>13</v>
      </c>
      <c r="B16" s="70" t="s">
        <v>102</v>
      </c>
      <c r="C16" s="70" t="s">
        <v>102</v>
      </c>
      <c r="D16" s="76" t="s">
        <v>108</v>
      </c>
      <c r="E16" s="72" t="s">
        <v>361</v>
      </c>
      <c r="F16" s="72" t="s">
        <v>109</v>
      </c>
      <c r="G16" s="76">
        <v>1</v>
      </c>
      <c r="H16" s="76">
        <v>1</v>
      </c>
      <c r="I16" s="76">
        <v>1</v>
      </c>
      <c r="J16" s="76">
        <v>1</v>
      </c>
      <c r="K16" s="76">
        <v>1</v>
      </c>
      <c r="L16" s="76">
        <f t="shared" si="0"/>
        <v>1</v>
      </c>
      <c r="M16" s="76">
        <v>2</v>
      </c>
      <c r="N16" s="74" t="str">
        <f>IF(ISBLANK(L16),"",VLOOKUP(L16,'2_Risk_Criteria'!$D$4:$I$9,M16+1,0))</f>
        <v>L2</v>
      </c>
      <c r="O16" s="76" t="str">
        <f>VLOOKUP(N16,'2_Risk_Criteria'!$I$28:$J$42,2,0)</f>
        <v>Accept</v>
      </c>
      <c r="P16" s="83" t="s">
        <v>110</v>
      </c>
      <c r="Q16" s="70"/>
      <c r="R16" s="76"/>
      <c r="S16" s="74">
        <v>1</v>
      </c>
      <c r="T16" s="74">
        <v>1</v>
      </c>
      <c r="U16" s="74">
        <v>1</v>
      </c>
      <c r="V16" s="74">
        <v>1</v>
      </c>
      <c r="W16" s="74">
        <v>1</v>
      </c>
      <c r="X16" s="82">
        <f t="shared" si="1"/>
        <v>1</v>
      </c>
      <c r="Y16" s="82">
        <v>2</v>
      </c>
      <c r="Z16" s="79" t="str">
        <f>IF(OR(ISBLANK(L16),ISBLANK(l)),"",VLOOKUP(X16-0,'2_Risk_Criteria'!$D$4:$I$9,Y16+1,0))</f>
        <v>L2</v>
      </c>
      <c r="AA16" s="80"/>
    </row>
    <row r="17" spans="1:27" ht="114">
      <c r="A17" s="74">
        <v>14</v>
      </c>
      <c r="B17" s="70" t="s">
        <v>102</v>
      </c>
      <c r="C17" s="70" t="s">
        <v>102</v>
      </c>
      <c r="D17" s="76" t="s">
        <v>108</v>
      </c>
      <c r="E17" s="72" t="s">
        <v>362</v>
      </c>
      <c r="F17" s="70" t="s">
        <v>394</v>
      </c>
      <c r="G17" s="76">
        <v>1</v>
      </c>
      <c r="H17" s="76">
        <v>1</v>
      </c>
      <c r="I17" s="76">
        <v>1</v>
      </c>
      <c r="J17" s="76">
        <v>1</v>
      </c>
      <c r="K17" s="76">
        <v>1</v>
      </c>
      <c r="L17" s="76">
        <f t="shared" si="0"/>
        <v>1</v>
      </c>
      <c r="M17" s="76">
        <v>1</v>
      </c>
      <c r="N17" s="74" t="str">
        <f>IF(ISBLANK(L17),"",VLOOKUP(L17,'2_Risk_Criteria'!$D$4:$I$9,M17+1,0))</f>
        <v>L1</v>
      </c>
      <c r="O17" s="76" t="str">
        <f>VLOOKUP(N17,'2_Risk_Criteria'!$I$28:$J$42,2,0)</f>
        <v>Accept</v>
      </c>
      <c r="P17" s="75" t="s">
        <v>359</v>
      </c>
      <c r="Q17" s="70"/>
      <c r="R17" s="76"/>
      <c r="S17" s="74">
        <v>1</v>
      </c>
      <c r="T17" s="74">
        <v>1</v>
      </c>
      <c r="U17" s="74">
        <v>1</v>
      </c>
      <c r="V17" s="74">
        <v>1</v>
      </c>
      <c r="W17" s="74">
        <v>1</v>
      </c>
      <c r="X17" s="82">
        <f t="shared" si="1"/>
        <v>1</v>
      </c>
      <c r="Y17" s="82">
        <v>1</v>
      </c>
      <c r="Z17" s="79" t="str">
        <f>IF(OR(ISBLANK(L17),ISBLANK(l)),"",VLOOKUP(X17-0,'2_Risk_Criteria'!$D$4:$I$9,Y17+1,0))</f>
        <v>L1</v>
      </c>
      <c r="AA17" s="80"/>
    </row>
    <row r="18" spans="1:27" ht="68.400000000000006">
      <c r="A18" s="69">
        <v>15</v>
      </c>
      <c r="B18" s="70" t="s">
        <v>102</v>
      </c>
      <c r="C18" s="70" t="s">
        <v>102</v>
      </c>
      <c r="D18" s="76" t="s">
        <v>108</v>
      </c>
      <c r="E18" s="81" t="s">
        <v>363</v>
      </c>
      <c r="F18" s="81" t="s">
        <v>111</v>
      </c>
      <c r="G18" s="76">
        <v>1</v>
      </c>
      <c r="H18" s="76">
        <v>1</v>
      </c>
      <c r="I18" s="76">
        <v>1</v>
      </c>
      <c r="J18" s="76">
        <v>1</v>
      </c>
      <c r="K18" s="76">
        <v>2</v>
      </c>
      <c r="L18" s="76">
        <f t="shared" si="0"/>
        <v>2</v>
      </c>
      <c r="M18" s="76">
        <v>2</v>
      </c>
      <c r="N18" s="74" t="str">
        <f>IF(ISBLANK(L18),"",VLOOKUP(L18,'2_Risk_Criteria'!$D$4:$I$9,M18+1,0))</f>
        <v>L4</v>
      </c>
      <c r="O18" s="71" t="str">
        <f>VLOOKUP(N18,'2_Risk_Criteria'!$I$28:$J$42,2,0)</f>
        <v>Accept</v>
      </c>
      <c r="P18" s="75" t="s">
        <v>112</v>
      </c>
      <c r="Q18" s="70"/>
      <c r="R18" s="74"/>
      <c r="S18" s="74">
        <v>1</v>
      </c>
      <c r="T18" s="74">
        <v>1</v>
      </c>
      <c r="U18" s="74">
        <v>1</v>
      </c>
      <c r="V18" s="74">
        <v>1</v>
      </c>
      <c r="W18" s="74">
        <v>2</v>
      </c>
      <c r="X18" s="82">
        <f t="shared" si="1"/>
        <v>2</v>
      </c>
      <c r="Y18" s="82">
        <v>2</v>
      </c>
      <c r="Z18" s="79" t="str">
        <f>IF(OR(ISBLANK(L18),ISBLANK(l)),"",VLOOKUP(X18-0,'2_Risk_Criteria'!$D$4:$I$9,Y18+1,0))</f>
        <v>L4</v>
      </c>
      <c r="AA18" s="80"/>
    </row>
    <row r="19" spans="1:27">
      <c r="A19" s="74">
        <v>16</v>
      </c>
      <c r="B19" s="70" t="s">
        <v>102</v>
      </c>
      <c r="C19" s="70" t="s">
        <v>102</v>
      </c>
      <c r="D19" s="76" t="s">
        <v>108</v>
      </c>
      <c r="E19" s="72" t="s">
        <v>364</v>
      </c>
      <c r="F19" s="70" t="s">
        <v>395</v>
      </c>
      <c r="G19" s="76">
        <v>1</v>
      </c>
      <c r="H19" s="76">
        <v>3</v>
      </c>
      <c r="I19" s="76">
        <v>1</v>
      </c>
      <c r="J19" s="76">
        <v>1</v>
      </c>
      <c r="K19" s="76">
        <v>1</v>
      </c>
      <c r="L19" s="76">
        <f t="shared" si="0"/>
        <v>3</v>
      </c>
      <c r="M19" s="76">
        <v>1</v>
      </c>
      <c r="N19" s="74" t="str">
        <f>IF(ISBLANK(L19),"",VLOOKUP(L19,'2_Risk_Criteria'!$D$4:$I$9,M19+1,0))</f>
        <v>L3</v>
      </c>
      <c r="O19" s="71" t="str">
        <f>VLOOKUP(N19,'2_Risk_Criteria'!$I$28:$J$42,2,0)</f>
        <v>Accept</v>
      </c>
      <c r="P19" s="75" t="s">
        <v>365</v>
      </c>
      <c r="Q19" s="70"/>
      <c r="R19" s="74"/>
      <c r="S19" s="74">
        <v>1</v>
      </c>
      <c r="T19" s="74">
        <v>2</v>
      </c>
      <c r="U19" s="74">
        <v>1</v>
      </c>
      <c r="V19" s="74">
        <v>1</v>
      </c>
      <c r="W19" s="74">
        <v>2</v>
      </c>
      <c r="X19" s="82">
        <f t="shared" si="1"/>
        <v>2</v>
      </c>
      <c r="Y19" s="82">
        <v>1</v>
      </c>
      <c r="Z19" s="79" t="str">
        <f>IF(OR(ISBLANK(L19),ISBLANK(l)),"",VLOOKUP(X19-0,'2_Risk_Criteria'!$D$4:$I$9,Y19+1,0))</f>
        <v>L2</v>
      </c>
      <c r="AA19" s="80"/>
    </row>
    <row r="20" spans="1:27" ht="114">
      <c r="A20" s="69">
        <v>17</v>
      </c>
      <c r="B20" s="70" t="s">
        <v>102</v>
      </c>
      <c r="C20" s="70" t="s">
        <v>102</v>
      </c>
      <c r="D20" s="76" t="s">
        <v>93</v>
      </c>
      <c r="E20" s="72" t="s">
        <v>113</v>
      </c>
      <c r="F20" s="70" t="s">
        <v>396</v>
      </c>
      <c r="G20" s="76">
        <v>2</v>
      </c>
      <c r="H20" s="76">
        <v>2</v>
      </c>
      <c r="I20" s="76">
        <v>1</v>
      </c>
      <c r="J20" s="76">
        <v>1</v>
      </c>
      <c r="K20" s="76">
        <v>1</v>
      </c>
      <c r="L20" s="76">
        <f t="shared" si="0"/>
        <v>2</v>
      </c>
      <c r="M20" s="76">
        <v>3</v>
      </c>
      <c r="N20" s="74" t="str">
        <f>IF(ISBLANK(L20),"",VLOOKUP(L20,'2_Risk_Criteria'!$D$4:$I$9,M20+1,0))</f>
        <v>M6</v>
      </c>
      <c r="O20" s="76" t="str">
        <f>VLOOKUP(N20,'2_Risk_Criteria'!$I$28:$J$42,2,0)</f>
        <v>Control</v>
      </c>
      <c r="P20" s="75" t="s">
        <v>115</v>
      </c>
      <c r="Q20" s="70"/>
      <c r="R20" s="76"/>
      <c r="S20" s="71">
        <v>2</v>
      </c>
      <c r="T20" s="71">
        <v>2</v>
      </c>
      <c r="U20" s="71">
        <v>1</v>
      </c>
      <c r="V20" s="71">
        <v>1</v>
      </c>
      <c r="W20" s="71">
        <v>1</v>
      </c>
      <c r="X20" s="76">
        <f t="shared" si="1"/>
        <v>2</v>
      </c>
      <c r="Y20" s="76">
        <v>2</v>
      </c>
      <c r="Z20" s="79" t="str">
        <f>IF(OR(ISBLANK(L20),ISBLANK(l)),"",VLOOKUP(X20-0,'2_Risk_Criteria'!$D$4:$I$9,Y20+1,0))</f>
        <v>L4</v>
      </c>
      <c r="AA20" s="80"/>
    </row>
    <row r="21" spans="1:27" ht="114">
      <c r="A21" s="74">
        <v>18</v>
      </c>
      <c r="B21" s="70" t="s">
        <v>102</v>
      </c>
      <c r="C21" s="70" t="s">
        <v>102</v>
      </c>
      <c r="D21" s="76" t="s">
        <v>93</v>
      </c>
      <c r="E21" s="72" t="s">
        <v>114</v>
      </c>
      <c r="F21" s="70" t="s">
        <v>115</v>
      </c>
      <c r="G21" s="76">
        <v>1</v>
      </c>
      <c r="H21" s="76">
        <v>2</v>
      </c>
      <c r="I21" s="76">
        <v>1</v>
      </c>
      <c r="J21" s="76">
        <v>1</v>
      </c>
      <c r="K21" s="76">
        <v>1</v>
      </c>
      <c r="L21" s="76">
        <f t="shared" si="0"/>
        <v>2</v>
      </c>
      <c r="M21" s="76">
        <v>3</v>
      </c>
      <c r="N21" s="74" t="str">
        <f>IF(ISBLANK(L21),"",VLOOKUP(L21,'2_Risk_Criteria'!$D$4:$I$9,M21+1,0))</f>
        <v>M6</v>
      </c>
      <c r="O21" s="76" t="str">
        <f>VLOOKUP(N21,'2_Risk_Criteria'!$I$28:$J$42,2,0)</f>
        <v>Control</v>
      </c>
      <c r="P21" s="75" t="s">
        <v>116</v>
      </c>
      <c r="Q21" s="70"/>
      <c r="R21" s="76"/>
      <c r="S21" s="71">
        <v>1</v>
      </c>
      <c r="T21" s="71">
        <v>2</v>
      </c>
      <c r="U21" s="71">
        <v>1</v>
      </c>
      <c r="V21" s="71">
        <v>1</v>
      </c>
      <c r="W21" s="71">
        <v>1</v>
      </c>
      <c r="X21" s="76">
        <f t="shared" si="1"/>
        <v>2</v>
      </c>
      <c r="Y21" s="76">
        <v>2</v>
      </c>
      <c r="Z21" s="79" t="str">
        <f>IF(OR(ISBLANK(L21),ISBLANK(l)),"",VLOOKUP(X21-0,'2_Risk_Criteria'!$D$4:$I$9,Y21+1,0))</f>
        <v>L4</v>
      </c>
      <c r="AA21" s="80"/>
    </row>
    <row r="22" spans="1:27" ht="68.400000000000006">
      <c r="A22" s="69">
        <v>19</v>
      </c>
      <c r="B22" s="70" t="s">
        <v>102</v>
      </c>
      <c r="C22" s="70" t="s">
        <v>102</v>
      </c>
      <c r="D22" s="76" t="s">
        <v>93</v>
      </c>
      <c r="E22" s="72" t="s">
        <v>523</v>
      </c>
      <c r="F22" s="72" t="s">
        <v>117</v>
      </c>
      <c r="G22" s="76">
        <v>1</v>
      </c>
      <c r="H22" s="76">
        <v>2</v>
      </c>
      <c r="I22" s="76">
        <v>1</v>
      </c>
      <c r="J22" s="76">
        <v>1</v>
      </c>
      <c r="K22" s="76">
        <v>3</v>
      </c>
      <c r="L22" s="76">
        <f t="shared" si="0"/>
        <v>3</v>
      </c>
      <c r="M22" s="76">
        <v>3</v>
      </c>
      <c r="N22" s="74" t="str">
        <f>IF(ISBLANK(L22),"",VLOOKUP(L22,'2_Risk_Criteria'!$D$4:$I$9,M22+1,0))</f>
        <v>M9</v>
      </c>
      <c r="O22" s="71" t="str">
        <f>VLOOKUP(N22,'2_Risk_Criteria'!$I$28:$J$42,2,0)</f>
        <v>Control</v>
      </c>
      <c r="P22" s="75" t="s">
        <v>117</v>
      </c>
      <c r="Q22" s="70"/>
      <c r="R22" s="76"/>
      <c r="S22" s="74">
        <v>1</v>
      </c>
      <c r="T22" s="74">
        <v>1</v>
      </c>
      <c r="U22" s="74">
        <v>1</v>
      </c>
      <c r="V22" s="74">
        <v>1</v>
      </c>
      <c r="W22" s="74">
        <v>1</v>
      </c>
      <c r="X22" s="82">
        <f t="shared" si="1"/>
        <v>1</v>
      </c>
      <c r="Y22" s="82">
        <v>2</v>
      </c>
      <c r="Z22" s="79" t="str">
        <f>IF(OR(ISBLANK(L22),ISBLANK(l)),"",VLOOKUP(X22-0,'2_Risk_Criteria'!$D$4:$I$9,Y22+1,0))</f>
        <v>L2</v>
      </c>
      <c r="AA22" s="80"/>
    </row>
    <row r="23" spans="1:27" ht="114">
      <c r="A23" s="74">
        <v>20</v>
      </c>
      <c r="B23" s="70" t="s">
        <v>102</v>
      </c>
      <c r="C23" s="70" t="s">
        <v>102</v>
      </c>
      <c r="D23" s="76" t="s">
        <v>93</v>
      </c>
      <c r="E23" s="72" t="s">
        <v>118</v>
      </c>
      <c r="F23" s="84" t="s">
        <v>119</v>
      </c>
      <c r="G23" s="76">
        <v>1</v>
      </c>
      <c r="H23" s="76">
        <v>4</v>
      </c>
      <c r="I23" s="76">
        <v>1</v>
      </c>
      <c r="J23" s="76">
        <v>3</v>
      </c>
      <c r="K23" s="76">
        <v>1</v>
      </c>
      <c r="L23" s="76">
        <f t="shared" si="0"/>
        <v>4</v>
      </c>
      <c r="M23" s="76">
        <v>1</v>
      </c>
      <c r="N23" s="74" t="str">
        <f>IF(ISBLANK(L23),"",VLOOKUP(L23,'2_Risk_Criteria'!$D$4:$I$9,M23+1,0))</f>
        <v>L4</v>
      </c>
      <c r="O23" s="76" t="str">
        <f>VLOOKUP(N23,'2_Risk_Criteria'!$I$28:$J$42,2,0)</f>
        <v>Accept</v>
      </c>
      <c r="P23" s="75" t="s">
        <v>445</v>
      </c>
      <c r="Q23" s="70"/>
      <c r="R23" s="270" t="s">
        <v>120</v>
      </c>
      <c r="S23" s="71">
        <v>1</v>
      </c>
      <c r="T23" s="71">
        <v>3</v>
      </c>
      <c r="U23" s="71">
        <v>1</v>
      </c>
      <c r="V23" s="71">
        <v>2</v>
      </c>
      <c r="W23" s="71">
        <v>1</v>
      </c>
      <c r="X23" s="76">
        <f t="shared" si="1"/>
        <v>3</v>
      </c>
      <c r="Y23" s="76">
        <v>1</v>
      </c>
      <c r="Z23" s="79" t="str">
        <f>IF(OR(ISBLANK(L23),ISBLANK(l)),"",VLOOKUP(X23-0,'2_Risk_Criteria'!$D$4:$I$9,Y23+1,0))</f>
        <v>L3</v>
      </c>
      <c r="AA23" s="80"/>
    </row>
    <row r="24" spans="1:27" ht="68.400000000000006">
      <c r="A24" s="69">
        <v>21</v>
      </c>
      <c r="B24" s="70" t="s">
        <v>102</v>
      </c>
      <c r="C24" s="70" t="s">
        <v>102</v>
      </c>
      <c r="D24" s="76" t="s">
        <v>93</v>
      </c>
      <c r="E24" s="72" t="s">
        <v>121</v>
      </c>
      <c r="F24" s="70" t="s">
        <v>397</v>
      </c>
      <c r="G24" s="76">
        <v>1</v>
      </c>
      <c r="H24" s="76">
        <v>1</v>
      </c>
      <c r="I24" s="76">
        <v>1</v>
      </c>
      <c r="J24" s="76">
        <v>1</v>
      </c>
      <c r="K24" s="76">
        <v>1</v>
      </c>
      <c r="L24" s="76">
        <f t="shared" si="0"/>
        <v>1</v>
      </c>
      <c r="M24" s="76">
        <v>1</v>
      </c>
      <c r="N24" s="74" t="str">
        <f>IF(ISBLANK(L24),"",VLOOKUP(L24,'2_Risk_Criteria'!$D$4:$I$9,M24+1,0))</f>
        <v>L1</v>
      </c>
      <c r="O24" s="76" t="str">
        <f>VLOOKUP(N24,'2_Risk_Criteria'!$I$28:$J$42,2,0)</f>
        <v>Accept</v>
      </c>
      <c r="P24" s="75" t="s">
        <v>122</v>
      </c>
      <c r="Q24" s="70"/>
      <c r="R24" s="76"/>
      <c r="S24" s="74">
        <v>1</v>
      </c>
      <c r="T24" s="74">
        <v>1</v>
      </c>
      <c r="U24" s="74">
        <v>1</v>
      </c>
      <c r="V24" s="74">
        <v>1</v>
      </c>
      <c r="W24" s="74">
        <v>1</v>
      </c>
      <c r="X24" s="82">
        <f t="shared" si="1"/>
        <v>1</v>
      </c>
      <c r="Y24" s="82">
        <v>1</v>
      </c>
      <c r="Z24" s="79" t="str">
        <f>IF(OR(ISBLANK(L24),ISBLANK(l)),"",VLOOKUP(X24-0,'2_Risk_Criteria'!$D$4:$I$9,Y24+1,0))</f>
        <v>L1</v>
      </c>
      <c r="AA24" s="80"/>
    </row>
    <row r="25" spans="1:27" ht="68.400000000000006">
      <c r="A25" s="74">
        <v>22</v>
      </c>
      <c r="B25" s="70" t="s">
        <v>102</v>
      </c>
      <c r="C25" s="70" t="s">
        <v>102</v>
      </c>
      <c r="D25" s="76" t="s">
        <v>93</v>
      </c>
      <c r="E25" s="72" t="s">
        <v>366</v>
      </c>
      <c r="F25" s="70" t="s">
        <v>398</v>
      </c>
      <c r="G25" s="76">
        <v>1</v>
      </c>
      <c r="H25" s="76">
        <v>2</v>
      </c>
      <c r="I25" s="76">
        <v>1</v>
      </c>
      <c r="J25" s="76">
        <v>1</v>
      </c>
      <c r="K25" s="76">
        <v>1</v>
      </c>
      <c r="L25" s="76">
        <f t="shared" si="0"/>
        <v>2</v>
      </c>
      <c r="M25" s="76">
        <v>2</v>
      </c>
      <c r="N25" s="74" t="str">
        <f>IF(ISBLANK(L25),"",VLOOKUP(L25,'2_Risk_Criteria'!$D$4:$I$9,M25+1,0))</f>
        <v>L4</v>
      </c>
      <c r="O25" s="76" t="str">
        <f>VLOOKUP(N25,'2_Risk_Criteria'!$I$28:$J$42,2,0)</f>
        <v>Accept</v>
      </c>
      <c r="P25" s="75" t="s">
        <v>123</v>
      </c>
      <c r="Q25" s="70"/>
      <c r="R25" s="76"/>
      <c r="S25" s="74">
        <v>1</v>
      </c>
      <c r="T25" s="74">
        <v>1</v>
      </c>
      <c r="U25" s="74">
        <v>1</v>
      </c>
      <c r="V25" s="74">
        <v>1</v>
      </c>
      <c r="W25" s="74">
        <v>1</v>
      </c>
      <c r="X25" s="82">
        <f t="shared" si="1"/>
        <v>1</v>
      </c>
      <c r="Y25" s="82">
        <v>2</v>
      </c>
      <c r="Z25" s="79" t="str">
        <f>IF(OR(ISBLANK(L25),ISBLANK(l)),"",VLOOKUP(X25-0,'2_Risk_Criteria'!$D$4:$I$9,Y25+1,0))</f>
        <v>L2</v>
      </c>
      <c r="AA25" s="80"/>
    </row>
    <row r="26" spans="1:27" ht="45.6">
      <c r="A26" s="69">
        <v>23</v>
      </c>
      <c r="B26" s="70" t="s">
        <v>124</v>
      </c>
      <c r="C26" s="70" t="s">
        <v>125</v>
      </c>
      <c r="D26" s="76" t="s">
        <v>93</v>
      </c>
      <c r="E26" s="72" t="s">
        <v>367</v>
      </c>
      <c r="F26" s="70" t="s">
        <v>399</v>
      </c>
      <c r="G26" s="76">
        <v>1</v>
      </c>
      <c r="H26" s="76">
        <v>1</v>
      </c>
      <c r="I26" s="76">
        <v>1</v>
      </c>
      <c r="J26" s="76">
        <v>1</v>
      </c>
      <c r="K26" s="76">
        <v>1</v>
      </c>
      <c r="L26" s="76">
        <f t="shared" si="0"/>
        <v>1</v>
      </c>
      <c r="M26" s="76">
        <v>3</v>
      </c>
      <c r="N26" s="74" t="str">
        <f>IF(ISBLANK(L26),"",VLOOKUP(L26,'2_Risk_Criteria'!$D$4:$I$9,M26+1,0))</f>
        <v>L3</v>
      </c>
      <c r="O26" s="76" t="str">
        <f>VLOOKUP(N26,'2_Risk_Criteria'!$I$28:$J$42,2,0)</f>
        <v>Accept</v>
      </c>
      <c r="P26" s="75" t="s">
        <v>368</v>
      </c>
      <c r="Q26" s="70"/>
      <c r="R26" s="76"/>
      <c r="S26" s="74">
        <v>1</v>
      </c>
      <c r="T26" s="74">
        <v>1</v>
      </c>
      <c r="U26" s="74">
        <v>1</v>
      </c>
      <c r="V26" s="74">
        <v>1</v>
      </c>
      <c r="W26" s="74">
        <v>1</v>
      </c>
      <c r="X26" s="82">
        <f t="shared" si="1"/>
        <v>1</v>
      </c>
      <c r="Y26" s="82">
        <v>3</v>
      </c>
      <c r="Z26" s="79" t="str">
        <f>IF(OR(ISBLANK(L26),ISBLANK(l)),"",VLOOKUP(X26-0,'2_Risk_Criteria'!$D$4:$I$9,Y26+1,0))</f>
        <v>L3</v>
      </c>
      <c r="AA26" s="80"/>
    </row>
    <row r="27" spans="1:27" ht="114">
      <c r="A27" s="74">
        <v>24</v>
      </c>
      <c r="B27" s="70" t="s">
        <v>126</v>
      </c>
      <c r="C27" s="70" t="s">
        <v>125</v>
      </c>
      <c r="D27" s="76" t="s">
        <v>88</v>
      </c>
      <c r="E27" s="72" t="s">
        <v>369</v>
      </c>
      <c r="F27" s="70" t="s">
        <v>400</v>
      </c>
      <c r="G27" s="76">
        <v>1</v>
      </c>
      <c r="H27" s="76">
        <v>1</v>
      </c>
      <c r="I27" s="76">
        <v>1</v>
      </c>
      <c r="J27" s="76">
        <v>1</v>
      </c>
      <c r="K27" s="76">
        <v>2</v>
      </c>
      <c r="L27" s="76">
        <f t="shared" si="0"/>
        <v>2</v>
      </c>
      <c r="M27" s="76">
        <v>2</v>
      </c>
      <c r="N27" s="74" t="str">
        <f>IF(ISBLANK(L27),"",VLOOKUP(L27,'2_Risk_Criteria'!$D$4:$I$9,M27+1,0))</f>
        <v>L4</v>
      </c>
      <c r="O27" s="76" t="str">
        <f>VLOOKUP(N27,'2_Risk_Criteria'!$I$28:$J$42,2,0)</f>
        <v>Accept</v>
      </c>
      <c r="P27" s="75" t="s">
        <v>370</v>
      </c>
      <c r="Q27" s="70"/>
      <c r="R27" s="76"/>
      <c r="S27" s="74">
        <v>1</v>
      </c>
      <c r="T27" s="74">
        <v>1</v>
      </c>
      <c r="U27" s="74">
        <v>1</v>
      </c>
      <c r="V27" s="74">
        <v>1</v>
      </c>
      <c r="W27" s="74">
        <v>1</v>
      </c>
      <c r="X27" s="82">
        <f t="shared" si="1"/>
        <v>1</v>
      </c>
      <c r="Y27" s="82">
        <v>2</v>
      </c>
      <c r="Z27" s="79" t="str">
        <f>IF(OR(ISBLANK(L27),ISBLANK(l)),"",VLOOKUP(X27-0,'2_Risk_Criteria'!$D$4:$I$9,Y27+1,0))</f>
        <v>L2</v>
      </c>
      <c r="AA27" s="80"/>
    </row>
    <row r="28" spans="1:27" ht="68.400000000000006">
      <c r="A28" s="69">
        <v>25</v>
      </c>
      <c r="B28" s="70" t="s">
        <v>126</v>
      </c>
      <c r="C28" s="70" t="s">
        <v>125</v>
      </c>
      <c r="D28" s="76" t="s">
        <v>88</v>
      </c>
      <c r="E28" s="72" t="s">
        <v>371</v>
      </c>
      <c r="F28" s="70" t="s">
        <v>401</v>
      </c>
      <c r="G28" s="76">
        <v>1</v>
      </c>
      <c r="H28" s="76">
        <v>1</v>
      </c>
      <c r="I28" s="76">
        <v>1</v>
      </c>
      <c r="J28" s="76">
        <v>1</v>
      </c>
      <c r="K28" s="76">
        <v>2</v>
      </c>
      <c r="L28" s="76">
        <f t="shared" si="0"/>
        <v>2</v>
      </c>
      <c r="M28" s="76">
        <v>1</v>
      </c>
      <c r="N28" s="74" t="str">
        <f>IF(ISBLANK(L28),"",VLOOKUP(L28,'2_Risk_Criteria'!$D$4:$I$9,M28+1,0))</f>
        <v>L2</v>
      </c>
      <c r="O28" s="76" t="str">
        <f>VLOOKUP(N28,'2_Risk_Criteria'!$I$28:$J$42,2,0)</f>
        <v>Accept</v>
      </c>
      <c r="P28" s="75" t="s">
        <v>372</v>
      </c>
      <c r="Q28" s="70"/>
      <c r="R28" s="76"/>
      <c r="S28" s="74">
        <v>1</v>
      </c>
      <c r="T28" s="74">
        <v>1</v>
      </c>
      <c r="U28" s="74">
        <v>1</v>
      </c>
      <c r="V28" s="74">
        <v>1</v>
      </c>
      <c r="W28" s="74">
        <v>2</v>
      </c>
      <c r="X28" s="82">
        <f t="shared" si="1"/>
        <v>2</v>
      </c>
      <c r="Y28" s="82">
        <v>1</v>
      </c>
      <c r="Z28" s="79" t="str">
        <f>IF(OR(ISBLANK(L28),ISBLANK(l)),"",VLOOKUP(X28-0,'2_Risk_Criteria'!$D$4:$I$9,Y28+1,0))</f>
        <v>L2</v>
      </c>
      <c r="AA28" s="80"/>
    </row>
    <row r="29" spans="1:27" ht="68.400000000000006">
      <c r="A29" s="74">
        <v>26</v>
      </c>
      <c r="B29" s="70" t="s">
        <v>126</v>
      </c>
      <c r="C29" s="70" t="s">
        <v>125</v>
      </c>
      <c r="D29" s="76" t="s">
        <v>88</v>
      </c>
      <c r="E29" s="72" t="s">
        <v>373</v>
      </c>
      <c r="F29" s="70" t="s">
        <v>402</v>
      </c>
      <c r="G29" s="76">
        <v>1</v>
      </c>
      <c r="H29" s="76">
        <v>1</v>
      </c>
      <c r="I29" s="76">
        <v>3</v>
      </c>
      <c r="J29" s="76">
        <v>1</v>
      </c>
      <c r="K29" s="76">
        <v>1</v>
      </c>
      <c r="L29" s="76">
        <f t="shared" si="0"/>
        <v>3</v>
      </c>
      <c r="M29" s="76">
        <v>1</v>
      </c>
      <c r="N29" s="74" t="str">
        <f>IF(ISBLANK(L29),"",VLOOKUP(L29,'2_Risk_Criteria'!$D$4:$I$9,M29+1,0))</f>
        <v>L3</v>
      </c>
      <c r="O29" s="76" t="str">
        <f>VLOOKUP(N29,'2_Risk_Criteria'!$I$28:$J$42,2,0)</f>
        <v>Accept</v>
      </c>
      <c r="P29" s="75" t="s">
        <v>374</v>
      </c>
      <c r="Q29" s="70"/>
      <c r="R29" s="76"/>
      <c r="S29" s="74">
        <v>1</v>
      </c>
      <c r="T29" s="74">
        <v>1</v>
      </c>
      <c r="U29" s="74">
        <v>2</v>
      </c>
      <c r="V29" s="74">
        <v>1</v>
      </c>
      <c r="W29" s="74">
        <v>1</v>
      </c>
      <c r="X29" s="82">
        <f t="shared" si="1"/>
        <v>2</v>
      </c>
      <c r="Y29" s="82">
        <v>1</v>
      </c>
      <c r="Z29" s="79" t="str">
        <f>IF(OR(ISBLANK(L29),ISBLANK(l)),"",VLOOKUP(X29-0,'2_Risk_Criteria'!$D$4:$I$9,Y29+1,0))</f>
        <v>L2</v>
      </c>
      <c r="AA29" s="80"/>
    </row>
    <row r="30" spans="1:27" ht="114">
      <c r="A30" s="69">
        <v>27</v>
      </c>
      <c r="B30" s="70" t="s">
        <v>126</v>
      </c>
      <c r="C30" s="70" t="s">
        <v>125</v>
      </c>
      <c r="D30" s="76" t="s">
        <v>108</v>
      </c>
      <c r="E30" s="72" t="s">
        <v>375</v>
      </c>
      <c r="F30" s="70" t="s">
        <v>403</v>
      </c>
      <c r="G30" s="76">
        <v>1</v>
      </c>
      <c r="H30" s="76">
        <v>3</v>
      </c>
      <c r="I30" s="76">
        <v>1</v>
      </c>
      <c r="J30" s="76">
        <v>1</v>
      </c>
      <c r="K30" s="76">
        <v>2</v>
      </c>
      <c r="L30" s="76">
        <f t="shared" si="0"/>
        <v>3</v>
      </c>
      <c r="M30" s="76">
        <v>1</v>
      </c>
      <c r="N30" s="74" t="str">
        <f>IF(ISBLANK(L30),"",VLOOKUP(L30,'2_Risk_Criteria'!$D$4:$I$9,M30+1,0))</f>
        <v>L3</v>
      </c>
      <c r="O30" s="76" t="str">
        <f>VLOOKUP(N30,'2_Risk_Criteria'!$I$28:$J$42,2,0)</f>
        <v>Accept</v>
      </c>
      <c r="P30" s="75" t="s">
        <v>376</v>
      </c>
      <c r="Q30" s="70"/>
      <c r="R30" s="76"/>
      <c r="S30" s="74">
        <v>1</v>
      </c>
      <c r="T30" s="74">
        <v>3</v>
      </c>
      <c r="U30" s="74">
        <v>1</v>
      </c>
      <c r="V30" s="74">
        <v>1</v>
      </c>
      <c r="W30" s="74">
        <v>1</v>
      </c>
      <c r="X30" s="82">
        <f t="shared" si="1"/>
        <v>3</v>
      </c>
      <c r="Y30" s="82">
        <v>1</v>
      </c>
      <c r="Z30" s="79" t="str">
        <f>IF(OR(ISBLANK(L30),ISBLANK(l)),"",VLOOKUP(X30-0,'2_Risk_Criteria'!$D$4:$I$9,Y30+1,0))</f>
        <v>L3</v>
      </c>
      <c r="AA30" s="80"/>
    </row>
    <row r="31" spans="1:27" ht="45.6">
      <c r="A31" s="74">
        <v>28</v>
      </c>
      <c r="B31" s="84" t="s">
        <v>126</v>
      </c>
      <c r="C31" s="84" t="s">
        <v>125</v>
      </c>
      <c r="D31" s="82" t="s">
        <v>93</v>
      </c>
      <c r="E31" s="81" t="s">
        <v>404</v>
      </c>
      <c r="F31" s="84" t="s">
        <v>405</v>
      </c>
      <c r="G31" s="82">
        <v>1</v>
      </c>
      <c r="H31" s="82">
        <v>3</v>
      </c>
      <c r="I31" s="82">
        <v>1</v>
      </c>
      <c r="J31" s="82">
        <v>1</v>
      </c>
      <c r="K31" s="82">
        <v>3</v>
      </c>
      <c r="L31" s="82">
        <f t="shared" si="0"/>
        <v>3</v>
      </c>
      <c r="M31" s="82">
        <v>1</v>
      </c>
      <c r="N31" s="74" t="str">
        <f>IF(ISBLANK(L31),"",VLOOKUP(L31,'2_Risk_Criteria'!$D$4:$I$9,M31+1,0))</f>
        <v>L3</v>
      </c>
      <c r="O31" s="76" t="str">
        <f>VLOOKUP(N31,'2_Risk_Criteria'!$I$28:$J$42,2,0)</f>
        <v>Accept</v>
      </c>
      <c r="P31" s="85" t="s">
        <v>377</v>
      </c>
      <c r="Q31" s="84"/>
      <c r="R31" s="74"/>
      <c r="S31" s="82">
        <v>1</v>
      </c>
      <c r="T31" s="82">
        <v>3</v>
      </c>
      <c r="U31" s="82">
        <v>1</v>
      </c>
      <c r="V31" s="82">
        <v>1</v>
      </c>
      <c r="W31" s="82">
        <v>2</v>
      </c>
      <c r="X31" s="82">
        <f t="shared" si="1"/>
        <v>3</v>
      </c>
      <c r="Y31" s="82">
        <v>1</v>
      </c>
      <c r="Z31" s="79" t="str">
        <f>IF(OR(ISBLANK(L31),ISBLANK(l)),"",VLOOKUP(X31-0,'2_Risk_Criteria'!$D$4:$I$9,Y31+1,0))</f>
        <v>L3</v>
      </c>
      <c r="AA31" s="80"/>
    </row>
    <row r="32" spans="1:27" ht="91.2">
      <c r="A32" s="69">
        <v>29</v>
      </c>
      <c r="B32" s="84" t="s">
        <v>127</v>
      </c>
      <c r="C32" s="86" t="s">
        <v>128</v>
      </c>
      <c r="D32" s="87" t="s">
        <v>88</v>
      </c>
      <c r="E32" s="72" t="s">
        <v>378</v>
      </c>
      <c r="F32" s="70" t="s">
        <v>129</v>
      </c>
      <c r="G32" s="88">
        <v>1</v>
      </c>
      <c r="H32" s="88">
        <v>1</v>
      </c>
      <c r="I32" s="88">
        <v>2</v>
      </c>
      <c r="J32" s="88">
        <v>1</v>
      </c>
      <c r="K32" s="88">
        <v>3</v>
      </c>
      <c r="L32" s="89">
        <f t="shared" si="0"/>
        <v>3</v>
      </c>
      <c r="M32" s="82">
        <v>1</v>
      </c>
      <c r="N32" s="74" t="str">
        <f>IF(ISBLANK(L32),"",VLOOKUP(L32,'2_Risk_Criteria'!$D$4:$I$9,M32+1,0))</f>
        <v>L3</v>
      </c>
      <c r="O32" s="76" t="str">
        <f>VLOOKUP(N32,'2_Risk_Criteria'!$I$28:$J$42,2,0)</f>
        <v>Accept</v>
      </c>
      <c r="P32" s="75" t="s">
        <v>129</v>
      </c>
      <c r="Q32" s="84"/>
      <c r="R32" s="74"/>
      <c r="S32" s="82">
        <v>1</v>
      </c>
      <c r="T32" s="82">
        <v>1</v>
      </c>
      <c r="U32" s="82">
        <v>2</v>
      </c>
      <c r="V32" s="82">
        <v>1</v>
      </c>
      <c r="W32" s="82">
        <v>2</v>
      </c>
      <c r="X32" s="82">
        <f t="shared" si="1"/>
        <v>2</v>
      </c>
      <c r="Y32" s="82">
        <v>1</v>
      </c>
      <c r="Z32" s="79" t="str">
        <f>IF(OR(ISBLANK(L32),ISBLANK(l)),"",VLOOKUP(X32-0,'2_Risk_Criteria'!$D$4:$I$9,Y32+1,0))</f>
        <v>L2</v>
      </c>
      <c r="AA32" s="80"/>
    </row>
    <row r="33" spans="1:27" ht="91.2">
      <c r="A33" s="74">
        <v>30</v>
      </c>
      <c r="B33" s="84" t="s">
        <v>127</v>
      </c>
      <c r="C33" s="90" t="s">
        <v>128</v>
      </c>
      <c r="D33" s="82" t="s">
        <v>108</v>
      </c>
      <c r="E33" s="81" t="s">
        <v>379</v>
      </c>
      <c r="F33" s="70" t="s">
        <v>129</v>
      </c>
      <c r="G33" s="91">
        <v>1</v>
      </c>
      <c r="H33" s="91">
        <v>1</v>
      </c>
      <c r="I33" s="91">
        <v>1</v>
      </c>
      <c r="J33" s="91">
        <v>1</v>
      </c>
      <c r="K33" s="91">
        <v>3</v>
      </c>
      <c r="L33" s="92">
        <f t="shared" si="0"/>
        <v>3</v>
      </c>
      <c r="M33" s="92">
        <v>1</v>
      </c>
      <c r="N33" s="74" t="str">
        <f>IF(ISBLANK(L33),"",VLOOKUP(L33,'2_Risk_Criteria'!$D$4:$I$9,M33+1,0))</f>
        <v>L3</v>
      </c>
      <c r="O33" s="76" t="str">
        <f>VLOOKUP(N33,'2_Risk_Criteria'!$I$28:$J$42,2,0)</f>
        <v>Accept</v>
      </c>
      <c r="P33" s="75" t="s">
        <v>129</v>
      </c>
      <c r="Q33" s="84"/>
      <c r="R33" s="74"/>
      <c r="S33" s="82">
        <v>1</v>
      </c>
      <c r="T33" s="82">
        <v>1</v>
      </c>
      <c r="U33" s="82">
        <v>1</v>
      </c>
      <c r="V33" s="82">
        <v>1</v>
      </c>
      <c r="W33" s="82">
        <v>2</v>
      </c>
      <c r="X33" s="82">
        <f t="shared" si="1"/>
        <v>2</v>
      </c>
      <c r="Y33" s="82">
        <v>1</v>
      </c>
      <c r="Z33" s="79" t="str">
        <f>IF(OR(ISBLANK(L33),ISBLANK(l)),"",VLOOKUP(X33-0,'2_Risk_Criteria'!$D$4:$I$9,Y33+1,0))</f>
        <v>L2</v>
      </c>
      <c r="AA33" s="80" t="s">
        <v>92</v>
      </c>
    </row>
    <row r="34" spans="1:27" ht="136.80000000000001">
      <c r="A34" s="69">
        <v>31</v>
      </c>
      <c r="B34" s="70" t="s">
        <v>130</v>
      </c>
      <c r="C34" s="70" t="s">
        <v>131</v>
      </c>
      <c r="D34" s="76" t="s">
        <v>88</v>
      </c>
      <c r="E34" s="72" t="s">
        <v>132</v>
      </c>
      <c r="F34" s="72" t="s">
        <v>521</v>
      </c>
      <c r="G34" s="76">
        <v>1</v>
      </c>
      <c r="H34" s="76">
        <v>1</v>
      </c>
      <c r="I34" s="76">
        <v>2</v>
      </c>
      <c r="J34" s="76">
        <v>1</v>
      </c>
      <c r="K34" s="76">
        <v>2</v>
      </c>
      <c r="L34" s="76">
        <f t="shared" si="0"/>
        <v>2</v>
      </c>
      <c r="M34" s="76">
        <v>1</v>
      </c>
      <c r="N34" s="74" t="str">
        <f>IF(ISBLANK(L34),"",VLOOKUP(L34,'2_Risk_Criteria'!$D$4:$I$9,M34+1,0))</f>
        <v>L2</v>
      </c>
      <c r="O34" s="76" t="str">
        <f>VLOOKUP(N34,'2_Risk_Criteria'!$I$28:$J$42,2,0)</f>
        <v>Accept</v>
      </c>
      <c r="P34" s="75" t="s">
        <v>380</v>
      </c>
      <c r="Q34" s="70"/>
      <c r="R34" s="74"/>
      <c r="S34" s="74">
        <v>1</v>
      </c>
      <c r="T34" s="74">
        <v>1</v>
      </c>
      <c r="U34" s="74">
        <v>2</v>
      </c>
      <c r="V34" s="74">
        <v>1</v>
      </c>
      <c r="W34" s="74">
        <v>2</v>
      </c>
      <c r="X34" s="82">
        <f t="shared" si="1"/>
        <v>2</v>
      </c>
      <c r="Y34" s="82">
        <v>1</v>
      </c>
      <c r="Z34" s="79" t="str">
        <f>IF(OR(ISBLANK(L34),ISBLANK(l)),"",VLOOKUP(X34-0,'2_Risk_Criteria'!$D$4:$I$9,Y34+1,0))</f>
        <v>L2</v>
      </c>
      <c r="AA34" s="80" t="s">
        <v>92</v>
      </c>
    </row>
    <row r="35" spans="1:27" ht="45.6">
      <c r="A35" s="74">
        <v>32</v>
      </c>
      <c r="B35" s="70" t="s">
        <v>130</v>
      </c>
      <c r="C35" s="70" t="s">
        <v>131</v>
      </c>
      <c r="D35" s="76" t="s">
        <v>88</v>
      </c>
      <c r="E35" s="72" t="s">
        <v>133</v>
      </c>
      <c r="F35" s="72" t="s">
        <v>134</v>
      </c>
      <c r="G35" s="76">
        <v>1</v>
      </c>
      <c r="H35" s="76">
        <v>1</v>
      </c>
      <c r="I35" s="76">
        <v>1</v>
      </c>
      <c r="J35" s="76">
        <v>1</v>
      </c>
      <c r="K35" s="76">
        <v>1</v>
      </c>
      <c r="L35" s="76">
        <f t="shared" si="0"/>
        <v>1</v>
      </c>
      <c r="M35" s="76">
        <v>2</v>
      </c>
      <c r="N35" s="74" t="str">
        <f>IF(ISBLANK(L35),"",VLOOKUP(L35,'2_Risk_Criteria'!$D$4:$I$9,M35+1,0))</f>
        <v>L2</v>
      </c>
      <c r="O35" s="76" t="str">
        <f>VLOOKUP(N35,'2_Risk_Criteria'!$I$28:$J$42,2,0)</f>
        <v>Accept</v>
      </c>
      <c r="P35" s="75" t="s">
        <v>134</v>
      </c>
      <c r="Q35" s="70"/>
      <c r="R35" s="76"/>
      <c r="S35" s="74">
        <v>1</v>
      </c>
      <c r="T35" s="74">
        <v>1</v>
      </c>
      <c r="U35" s="74">
        <v>1</v>
      </c>
      <c r="V35" s="74">
        <v>1</v>
      </c>
      <c r="W35" s="74">
        <v>1</v>
      </c>
      <c r="X35" s="82">
        <f t="shared" si="1"/>
        <v>1</v>
      </c>
      <c r="Y35" s="82">
        <v>2</v>
      </c>
      <c r="Z35" s="79" t="str">
        <f>IF(OR(ISBLANK(L35),ISBLANK(l)),"",VLOOKUP(X35-0,'2_Risk_Criteria'!$D$4:$I$9,Y35+1,0))</f>
        <v>L2</v>
      </c>
      <c r="AA35" s="80" t="s">
        <v>92</v>
      </c>
    </row>
    <row r="36" spans="1:27" ht="159.6">
      <c r="A36" s="69">
        <v>33</v>
      </c>
      <c r="B36" s="70" t="s">
        <v>130</v>
      </c>
      <c r="C36" s="70" t="s">
        <v>131</v>
      </c>
      <c r="D36" s="76" t="s">
        <v>88</v>
      </c>
      <c r="E36" s="72" t="s">
        <v>135</v>
      </c>
      <c r="F36" s="305" t="s">
        <v>111</v>
      </c>
      <c r="G36" s="76">
        <v>4</v>
      </c>
      <c r="H36" s="76">
        <v>3</v>
      </c>
      <c r="I36" s="76">
        <v>4</v>
      </c>
      <c r="J36" s="76">
        <v>1</v>
      </c>
      <c r="K36" s="76">
        <v>3</v>
      </c>
      <c r="L36" s="76">
        <f t="shared" si="0"/>
        <v>4</v>
      </c>
      <c r="M36" s="76">
        <v>1</v>
      </c>
      <c r="N36" s="74" t="str">
        <f>IF(ISBLANK(L36),"",VLOOKUP(L36,'2_Risk_Criteria'!$D$4:$I$9,M36+1,0))</f>
        <v>L4</v>
      </c>
      <c r="O36" s="74" t="str">
        <f>VLOOKUP(N36,'2_Risk_Criteria'!$I$28:$J$42,2,0)</f>
        <v>Accept</v>
      </c>
      <c r="P36" s="75" t="s">
        <v>136</v>
      </c>
      <c r="Q36" s="70"/>
      <c r="R36" s="76" t="s">
        <v>137</v>
      </c>
      <c r="S36" s="71">
        <v>3</v>
      </c>
      <c r="T36" s="71">
        <v>1</v>
      </c>
      <c r="U36" s="71">
        <v>3</v>
      </c>
      <c r="V36" s="71">
        <v>1</v>
      </c>
      <c r="W36" s="71">
        <v>2</v>
      </c>
      <c r="X36" s="76">
        <f t="shared" si="1"/>
        <v>3</v>
      </c>
      <c r="Y36" s="76">
        <v>1</v>
      </c>
      <c r="Z36" s="79" t="str">
        <f>IF(OR(ISBLANK(L36),ISBLANK(l)),"",VLOOKUP(X36-0,'2_Risk_Criteria'!$D$4:$I$9,Y36+1,0))</f>
        <v>L3</v>
      </c>
      <c r="AA36" s="80" t="s">
        <v>92</v>
      </c>
    </row>
    <row r="37" spans="1:27" ht="159.6">
      <c r="A37" s="74">
        <v>34</v>
      </c>
      <c r="B37" s="70" t="s">
        <v>130</v>
      </c>
      <c r="C37" s="70" t="s">
        <v>131</v>
      </c>
      <c r="D37" s="76" t="s">
        <v>88</v>
      </c>
      <c r="E37" s="72" t="s">
        <v>381</v>
      </c>
      <c r="F37" s="70" t="s">
        <v>406</v>
      </c>
      <c r="G37" s="76">
        <v>4</v>
      </c>
      <c r="H37" s="76">
        <v>3</v>
      </c>
      <c r="I37" s="76">
        <v>4</v>
      </c>
      <c r="J37" s="76">
        <v>1</v>
      </c>
      <c r="K37" s="76">
        <v>3</v>
      </c>
      <c r="L37" s="76">
        <f t="shared" si="0"/>
        <v>4</v>
      </c>
      <c r="M37" s="76">
        <v>1</v>
      </c>
      <c r="N37" s="74" t="str">
        <f>IF(ISBLANK(L37),"",VLOOKUP(L37,'2_Risk_Criteria'!$D$4:$I$9,M37+1,0))</f>
        <v>L4</v>
      </c>
      <c r="O37" s="74" t="str">
        <f>VLOOKUP(N37,'2_Risk_Criteria'!$I$28:$J$42,2,0)</f>
        <v>Accept</v>
      </c>
      <c r="P37" s="75" t="s">
        <v>136</v>
      </c>
      <c r="Q37" s="70"/>
      <c r="R37" s="76" t="s">
        <v>137</v>
      </c>
      <c r="S37" s="71">
        <v>3</v>
      </c>
      <c r="T37" s="71">
        <v>1</v>
      </c>
      <c r="U37" s="71">
        <v>3</v>
      </c>
      <c r="V37" s="71">
        <v>1</v>
      </c>
      <c r="W37" s="71">
        <v>2</v>
      </c>
      <c r="X37" s="76">
        <f t="shared" si="1"/>
        <v>3</v>
      </c>
      <c r="Y37" s="76">
        <v>1</v>
      </c>
      <c r="Z37" s="79" t="str">
        <f>IF(OR(ISBLANK(L37),ISBLANK(l)),"",VLOOKUP(X37-0,'2_Risk_Criteria'!$D$4:$I$9,Y37+1,0))</f>
        <v>L3</v>
      </c>
      <c r="AA37" s="80" t="s">
        <v>92</v>
      </c>
    </row>
    <row r="38" spans="1:27" ht="114">
      <c r="A38" s="69">
        <v>35</v>
      </c>
      <c r="B38" s="70" t="s">
        <v>138</v>
      </c>
      <c r="C38" s="70" t="s">
        <v>131</v>
      </c>
      <c r="D38" s="76" t="s">
        <v>108</v>
      </c>
      <c r="E38" s="72" t="s">
        <v>139</v>
      </c>
      <c r="F38" s="70" t="s">
        <v>407</v>
      </c>
      <c r="G38" s="76">
        <v>1</v>
      </c>
      <c r="H38" s="76">
        <v>1</v>
      </c>
      <c r="I38" s="76">
        <v>1</v>
      </c>
      <c r="J38" s="76">
        <v>2</v>
      </c>
      <c r="K38" s="76">
        <v>3</v>
      </c>
      <c r="L38" s="76">
        <f t="shared" si="0"/>
        <v>3</v>
      </c>
      <c r="M38" s="76">
        <v>4</v>
      </c>
      <c r="N38" s="74" t="str">
        <f>IF(ISBLANK(L38),"",VLOOKUP(L38,'2_Risk_Criteria'!$D$4:$I$9,M38+1,0))</f>
        <v>H12</v>
      </c>
      <c r="O38" s="76" t="str">
        <f>VLOOKUP(N38,'2_Risk_Criteria'!$I$28:$J$42,2,0)</f>
        <v>Transfer</v>
      </c>
      <c r="P38" s="75" t="s">
        <v>97</v>
      </c>
      <c r="Q38" s="70"/>
      <c r="R38" s="74"/>
      <c r="S38" s="71">
        <v>1</v>
      </c>
      <c r="T38" s="71">
        <v>1</v>
      </c>
      <c r="U38" s="71">
        <v>1</v>
      </c>
      <c r="V38" s="71">
        <v>2</v>
      </c>
      <c r="W38" s="71">
        <v>2</v>
      </c>
      <c r="X38" s="76">
        <f t="shared" si="1"/>
        <v>2</v>
      </c>
      <c r="Y38" s="76">
        <v>2</v>
      </c>
      <c r="Z38" s="79" t="str">
        <f>IF(OR(ISBLANK(L38),ISBLANK(l)),"",VLOOKUP(X38-0,'2_Risk_Criteria'!$D$4:$I$9,Y38+1,0))</f>
        <v>L4</v>
      </c>
      <c r="AA38" s="80" t="s">
        <v>92</v>
      </c>
    </row>
    <row r="39" spans="1:27" ht="136.80000000000001">
      <c r="A39" s="74">
        <v>36</v>
      </c>
      <c r="B39" s="70" t="s">
        <v>130</v>
      </c>
      <c r="C39" s="70" t="s">
        <v>131</v>
      </c>
      <c r="D39" s="76" t="s">
        <v>93</v>
      </c>
      <c r="E39" s="81" t="s">
        <v>382</v>
      </c>
      <c r="F39" s="70" t="s">
        <v>408</v>
      </c>
      <c r="G39" s="76">
        <v>3</v>
      </c>
      <c r="H39" s="76">
        <v>4</v>
      </c>
      <c r="I39" s="76">
        <v>2</v>
      </c>
      <c r="J39" s="76">
        <v>2</v>
      </c>
      <c r="K39" s="76">
        <v>2</v>
      </c>
      <c r="L39" s="76">
        <f t="shared" si="0"/>
        <v>4</v>
      </c>
      <c r="M39" s="76">
        <v>1</v>
      </c>
      <c r="N39" s="74" t="str">
        <f>IF(ISBLANK(L39),"",VLOOKUP(L39,'2_Risk_Criteria'!$D$4:$I$9,M39+1,0))</f>
        <v>L4</v>
      </c>
      <c r="O39" s="76" t="str">
        <f>VLOOKUP(N39,'2_Risk_Criteria'!$I$28:$J$42,2,0)</f>
        <v>Accept</v>
      </c>
      <c r="P39" s="75" t="s">
        <v>520</v>
      </c>
      <c r="Q39" s="70"/>
      <c r="R39" s="76" t="s">
        <v>140</v>
      </c>
      <c r="S39" s="71">
        <v>3</v>
      </c>
      <c r="T39" s="71">
        <v>3</v>
      </c>
      <c r="U39" s="71">
        <v>2</v>
      </c>
      <c r="V39" s="71">
        <v>2</v>
      </c>
      <c r="W39" s="71">
        <v>2</v>
      </c>
      <c r="X39" s="76">
        <f t="shared" si="1"/>
        <v>3</v>
      </c>
      <c r="Y39" s="76">
        <v>1</v>
      </c>
      <c r="Z39" s="79" t="str">
        <f>IF(OR(ISBLANK(L39),ISBLANK(l)),"",VLOOKUP(X39-0,'2_Risk_Criteria'!$D$4:$I$9,Y39+1,0))</f>
        <v>L3</v>
      </c>
      <c r="AA39" s="80" t="s">
        <v>92</v>
      </c>
    </row>
    <row r="40" spans="1:27" ht="182.4">
      <c r="A40" s="69">
        <v>37</v>
      </c>
      <c r="B40" s="70" t="s">
        <v>141</v>
      </c>
      <c r="C40" s="70" t="s">
        <v>142</v>
      </c>
      <c r="D40" s="76" t="s">
        <v>88</v>
      </c>
      <c r="E40" s="72" t="s">
        <v>409</v>
      </c>
      <c r="F40" s="72" t="s">
        <v>524</v>
      </c>
      <c r="G40" s="76">
        <v>4</v>
      </c>
      <c r="H40" s="76">
        <v>4</v>
      </c>
      <c r="I40" s="76">
        <v>2</v>
      </c>
      <c r="J40" s="76">
        <v>1</v>
      </c>
      <c r="K40" s="76">
        <v>1</v>
      </c>
      <c r="L40" s="76">
        <f t="shared" si="0"/>
        <v>4</v>
      </c>
      <c r="M40" s="76">
        <v>1</v>
      </c>
      <c r="N40" s="74" t="str">
        <f>IF(ISBLANK(L40),"",VLOOKUP(L40,'2_Risk_Criteria'!$D$4:$I$9,M40+1,0))</f>
        <v>L4</v>
      </c>
      <c r="O40" s="71" t="str">
        <f>VLOOKUP(N40,'2_Risk_Criteria'!$I$28:$J$42,2,0)</f>
        <v>Accept</v>
      </c>
      <c r="P40" s="75" t="s">
        <v>445</v>
      </c>
      <c r="Q40" s="70"/>
      <c r="R40" s="76" t="s">
        <v>120</v>
      </c>
      <c r="S40" s="71">
        <v>3</v>
      </c>
      <c r="T40" s="71">
        <v>3</v>
      </c>
      <c r="U40" s="71">
        <v>2</v>
      </c>
      <c r="V40" s="71">
        <v>1</v>
      </c>
      <c r="W40" s="71">
        <v>1</v>
      </c>
      <c r="X40" s="71">
        <f t="shared" si="1"/>
        <v>3</v>
      </c>
      <c r="Y40" s="76">
        <v>1</v>
      </c>
      <c r="Z40" s="79" t="str">
        <f>IF(OR(ISBLANK(L40),ISBLANK(l)),"",VLOOKUP(X40-0,'2_Risk_Criteria'!$D$4:$I$9,Y40+1,0))</f>
        <v>L3</v>
      </c>
      <c r="AA40" s="80" t="s">
        <v>92</v>
      </c>
    </row>
    <row r="41" spans="1:27" ht="182.4">
      <c r="A41" s="74">
        <v>38</v>
      </c>
      <c r="B41" s="70" t="s">
        <v>141</v>
      </c>
      <c r="C41" s="70" t="s">
        <v>142</v>
      </c>
      <c r="D41" s="76" t="s">
        <v>88</v>
      </c>
      <c r="E41" s="72" t="s">
        <v>410</v>
      </c>
      <c r="F41" s="72" t="s">
        <v>143</v>
      </c>
      <c r="G41" s="76">
        <v>3</v>
      </c>
      <c r="H41" s="76">
        <v>5</v>
      </c>
      <c r="I41" s="76">
        <v>3</v>
      </c>
      <c r="J41" s="76">
        <v>5</v>
      </c>
      <c r="K41" s="76">
        <v>1</v>
      </c>
      <c r="L41" s="76">
        <f t="shared" si="0"/>
        <v>5</v>
      </c>
      <c r="M41" s="76">
        <v>5</v>
      </c>
      <c r="N41" s="74" t="str">
        <f>IF(ISBLANK(L41),"",VLOOKUP(L41,'2_Risk_Criteria'!$D$4:$I$9,M41+1,0))</f>
        <v>C25</v>
      </c>
      <c r="O41" s="76" t="str">
        <f>VLOOKUP(N41,'2_Risk_Criteria'!$I$28:$J$42,2,0)</f>
        <v>Avoid</v>
      </c>
      <c r="P41" s="75" t="s">
        <v>383</v>
      </c>
      <c r="Q41" s="70"/>
      <c r="R41" s="74"/>
      <c r="S41" s="74">
        <v>3</v>
      </c>
      <c r="T41" s="74">
        <v>3</v>
      </c>
      <c r="U41" s="74">
        <v>2</v>
      </c>
      <c r="V41" s="74">
        <v>1</v>
      </c>
      <c r="W41" s="74">
        <v>1</v>
      </c>
      <c r="X41" s="82">
        <f t="shared" si="1"/>
        <v>3</v>
      </c>
      <c r="Y41" s="82">
        <v>1</v>
      </c>
      <c r="Z41" s="79" t="str">
        <f>IF(OR(ISBLANK(L41),ISBLANK(l)),"",VLOOKUP(X41-0,'2_Risk_Criteria'!$D$4:$I$9,Y41+1,0))</f>
        <v>L3</v>
      </c>
      <c r="AA41" s="80" t="s">
        <v>92</v>
      </c>
    </row>
    <row r="42" spans="1:27" ht="114">
      <c r="A42" s="69">
        <v>39</v>
      </c>
      <c r="B42" s="70" t="s">
        <v>141</v>
      </c>
      <c r="C42" s="70" t="s">
        <v>142</v>
      </c>
      <c r="D42" s="76" t="s">
        <v>108</v>
      </c>
      <c r="E42" s="72" t="s">
        <v>144</v>
      </c>
      <c r="F42" s="70" t="s">
        <v>411</v>
      </c>
      <c r="G42" s="76">
        <v>1</v>
      </c>
      <c r="H42" s="76">
        <v>5</v>
      </c>
      <c r="I42" s="76">
        <v>1</v>
      </c>
      <c r="J42" s="76">
        <v>1</v>
      </c>
      <c r="K42" s="76">
        <v>5</v>
      </c>
      <c r="L42" s="76">
        <f t="shared" si="0"/>
        <v>5</v>
      </c>
      <c r="M42" s="76">
        <v>3</v>
      </c>
      <c r="N42" s="74" t="str">
        <f>IF(ISBLANK(L42),"",VLOOKUP(L42,'2_Risk_Criteria'!$D$4:$I$9,M42+1,0))</f>
        <v>H15</v>
      </c>
      <c r="O42" s="76" t="str">
        <f>VLOOKUP(N42,'2_Risk_Criteria'!$I$28:$J$42,2,0)</f>
        <v>Transfer</v>
      </c>
      <c r="P42" s="85" t="s">
        <v>384</v>
      </c>
      <c r="Q42" s="70"/>
      <c r="R42" s="76"/>
      <c r="S42" s="74">
        <v>1</v>
      </c>
      <c r="T42" s="74">
        <v>2</v>
      </c>
      <c r="U42" s="74">
        <v>1</v>
      </c>
      <c r="V42" s="74">
        <v>1</v>
      </c>
      <c r="W42" s="74">
        <v>1</v>
      </c>
      <c r="X42" s="82">
        <f t="shared" si="1"/>
        <v>2</v>
      </c>
      <c r="Y42" s="82">
        <v>1</v>
      </c>
      <c r="Z42" s="79" t="str">
        <f>IF(OR(ISBLANK(L42),ISBLANK(l)),"",VLOOKUP(X42-0,'2_Risk_Criteria'!$D$4:$I$9,Y42+1,0))</f>
        <v>L2</v>
      </c>
      <c r="AA42" s="80" t="s">
        <v>92</v>
      </c>
    </row>
    <row r="43" spans="1:27" ht="91.2">
      <c r="A43" s="74">
        <v>40</v>
      </c>
      <c r="B43" s="70" t="s">
        <v>141</v>
      </c>
      <c r="C43" s="70" t="s">
        <v>142</v>
      </c>
      <c r="D43" s="76" t="s">
        <v>108</v>
      </c>
      <c r="E43" s="72" t="s">
        <v>412</v>
      </c>
      <c r="F43" s="72" t="s">
        <v>111</v>
      </c>
      <c r="G43" s="76">
        <v>1</v>
      </c>
      <c r="H43" s="76">
        <v>3</v>
      </c>
      <c r="I43" s="76">
        <v>2</v>
      </c>
      <c r="J43" s="76">
        <v>1</v>
      </c>
      <c r="K43" s="76">
        <v>1</v>
      </c>
      <c r="L43" s="76">
        <f t="shared" si="0"/>
        <v>3</v>
      </c>
      <c r="M43" s="76">
        <v>1</v>
      </c>
      <c r="N43" s="74" t="str">
        <f>IF(ISBLANK(L43),"",VLOOKUP(L43,'2_Risk_Criteria'!$D$4:$I$9,M43+1,0))</f>
        <v>L3</v>
      </c>
      <c r="O43" s="76" t="str">
        <f>VLOOKUP(N43,'2_Risk_Criteria'!$I$28:$J$42,2,0)</f>
        <v>Accept</v>
      </c>
      <c r="P43" s="75" t="s">
        <v>385</v>
      </c>
      <c r="Q43" s="70"/>
      <c r="R43" s="76"/>
      <c r="S43" s="74">
        <v>1</v>
      </c>
      <c r="T43" s="74">
        <v>3</v>
      </c>
      <c r="U43" s="74">
        <v>2</v>
      </c>
      <c r="V43" s="74">
        <v>1</v>
      </c>
      <c r="W43" s="74">
        <v>1</v>
      </c>
      <c r="X43" s="82">
        <f t="shared" si="1"/>
        <v>3</v>
      </c>
      <c r="Y43" s="82">
        <v>1</v>
      </c>
      <c r="Z43" s="79" t="str">
        <f>IF(OR(ISBLANK(L43),ISBLANK(l)),"",VLOOKUP(X43-0,'2_Risk_Criteria'!$D$4:$I$9,Y43+1,0))</f>
        <v>L3</v>
      </c>
      <c r="AA43" s="80" t="s">
        <v>92</v>
      </c>
    </row>
    <row r="44" spans="1:27" ht="68.400000000000006">
      <c r="A44" s="69">
        <v>41</v>
      </c>
      <c r="B44" s="70" t="s">
        <v>141</v>
      </c>
      <c r="C44" s="70" t="s">
        <v>142</v>
      </c>
      <c r="D44" s="76" t="s">
        <v>93</v>
      </c>
      <c r="E44" s="72" t="s">
        <v>145</v>
      </c>
      <c r="F44" s="72" t="s">
        <v>386</v>
      </c>
      <c r="G44" s="76">
        <v>3</v>
      </c>
      <c r="H44" s="76">
        <v>3</v>
      </c>
      <c r="I44" s="76">
        <v>2</v>
      </c>
      <c r="J44" s="76">
        <v>1</v>
      </c>
      <c r="K44" s="76">
        <v>1</v>
      </c>
      <c r="L44" s="76">
        <f t="shared" si="0"/>
        <v>3</v>
      </c>
      <c r="M44" s="76">
        <v>1</v>
      </c>
      <c r="N44" s="74" t="str">
        <f>IF(ISBLANK(L44),"",VLOOKUP(L44,'2_Risk_Criteria'!$D$4:$I$9,M44+1,0))</f>
        <v>L3</v>
      </c>
      <c r="O44" s="76" t="str">
        <f>VLOOKUP(N44,'2_Risk_Criteria'!$I$28:$J$42,2,0)</f>
        <v>Accept</v>
      </c>
      <c r="P44" s="72" t="s">
        <v>386</v>
      </c>
      <c r="Q44" s="70"/>
      <c r="R44" s="76"/>
      <c r="S44" s="74">
        <v>3</v>
      </c>
      <c r="T44" s="74">
        <v>3</v>
      </c>
      <c r="U44" s="74">
        <v>2</v>
      </c>
      <c r="V44" s="74">
        <v>1</v>
      </c>
      <c r="W44" s="74">
        <v>1</v>
      </c>
      <c r="X44" s="82">
        <f t="shared" si="1"/>
        <v>3</v>
      </c>
      <c r="Y44" s="82">
        <v>1</v>
      </c>
      <c r="Z44" s="79" t="str">
        <f>IF(OR(ISBLANK(L44),ISBLANK(l)),"",VLOOKUP(X44-0,'2_Risk_Criteria'!$D$4:$I$9,Y44+1,0))</f>
        <v>L3</v>
      </c>
      <c r="AA44" s="80" t="s">
        <v>92</v>
      </c>
    </row>
    <row r="45" spans="1:27" ht="68.400000000000006">
      <c r="A45" s="74">
        <v>42</v>
      </c>
      <c r="B45" s="70" t="s">
        <v>141</v>
      </c>
      <c r="C45" s="84" t="s">
        <v>142</v>
      </c>
      <c r="D45" s="82" t="s">
        <v>93</v>
      </c>
      <c r="E45" s="81" t="s">
        <v>146</v>
      </c>
      <c r="F45" s="81" t="s">
        <v>147</v>
      </c>
      <c r="G45" s="76">
        <v>4</v>
      </c>
      <c r="H45" s="76">
        <v>5</v>
      </c>
      <c r="I45" s="76">
        <v>1</v>
      </c>
      <c r="J45" s="76">
        <v>1</v>
      </c>
      <c r="K45" s="76">
        <v>3</v>
      </c>
      <c r="L45" s="76">
        <f t="shared" si="0"/>
        <v>5</v>
      </c>
      <c r="M45" s="76">
        <v>1</v>
      </c>
      <c r="N45" s="74" t="str">
        <f>IF(ISBLANK(L45),"",VLOOKUP(L45,'2_Risk_Criteria'!$D$4:$I$9,M45+1,0))</f>
        <v>M5</v>
      </c>
      <c r="O45" s="76" t="str">
        <f>VLOOKUP(N45,'2_Risk_Criteria'!$I$28:$J$42,2,0)</f>
        <v>Control</v>
      </c>
      <c r="P45" s="75" t="s">
        <v>148</v>
      </c>
      <c r="Q45" s="70"/>
      <c r="R45" s="76" t="s">
        <v>149</v>
      </c>
      <c r="S45" s="71">
        <v>3</v>
      </c>
      <c r="T45" s="71">
        <v>3</v>
      </c>
      <c r="U45" s="71">
        <v>1</v>
      </c>
      <c r="V45" s="71">
        <v>1</v>
      </c>
      <c r="W45" s="71">
        <v>2</v>
      </c>
      <c r="X45" s="76">
        <f t="shared" si="1"/>
        <v>3</v>
      </c>
      <c r="Y45" s="76">
        <v>1</v>
      </c>
      <c r="Z45" s="79" t="str">
        <f>IF(OR(ISBLANK(L45),ISBLANK(l)),"",VLOOKUP(X45-0,'2_Risk_Criteria'!$D$4:$I$9,Y45+1,0))</f>
        <v>L3</v>
      </c>
      <c r="AA45" s="80" t="s">
        <v>92</v>
      </c>
    </row>
    <row r="46" spans="1:27" ht="136.80000000000001">
      <c r="A46" s="69">
        <v>43</v>
      </c>
      <c r="B46" s="70" t="s">
        <v>150</v>
      </c>
      <c r="C46" s="70" t="s">
        <v>151</v>
      </c>
      <c r="D46" s="76" t="s">
        <v>108</v>
      </c>
      <c r="E46" s="72" t="s">
        <v>152</v>
      </c>
      <c r="F46" s="70" t="s">
        <v>153</v>
      </c>
      <c r="G46" s="76">
        <v>1</v>
      </c>
      <c r="H46" s="76">
        <v>2</v>
      </c>
      <c r="I46" s="76">
        <v>1</v>
      </c>
      <c r="J46" s="76">
        <v>2</v>
      </c>
      <c r="K46" s="76">
        <v>1</v>
      </c>
      <c r="L46" s="76">
        <f t="shared" si="0"/>
        <v>2</v>
      </c>
      <c r="M46" s="76">
        <v>3</v>
      </c>
      <c r="N46" s="74" t="str">
        <f>IF(ISBLANK(L46),"",VLOOKUP(L46,'2_Risk_Criteria'!$D$4:$I$9,M46+1,0))</f>
        <v>M6</v>
      </c>
      <c r="O46" s="76" t="str">
        <f>VLOOKUP(N46,'2_Risk_Criteria'!$I$28:$J$42,2,0)</f>
        <v>Control</v>
      </c>
      <c r="P46" s="75" t="s">
        <v>387</v>
      </c>
      <c r="Q46" s="70"/>
      <c r="R46" s="74"/>
      <c r="S46" s="71">
        <v>1</v>
      </c>
      <c r="T46" s="71">
        <v>2</v>
      </c>
      <c r="U46" s="71">
        <v>1</v>
      </c>
      <c r="V46" s="71">
        <v>2</v>
      </c>
      <c r="W46" s="71">
        <v>1</v>
      </c>
      <c r="X46" s="76">
        <f t="shared" si="1"/>
        <v>2</v>
      </c>
      <c r="Y46" s="76">
        <v>2</v>
      </c>
      <c r="Z46" s="79" t="str">
        <f>IF(OR(ISBLANK(L46),ISBLANK(l)),"",VLOOKUP(X46-0,'2_Risk_Criteria'!$D$4:$I$9,Y46+1,0))</f>
        <v>L4</v>
      </c>
      <c r="AA46" s="80" t="s">
        <v>92</v>
      </c>
    </row>
    <row r="47" spans="1:27" ht="136.80000000000001">
      <c r="A47" s="74">
        <v>44</v>
      </c>
      <c r="B47" s="70" t="s">
        <v>150</v>
      </c>
      <c r="C47" s="70" t="s">
        <v>151</v>
      </c>
      <c r="D47" s="82" t="s">
        <v>93</v>
      </c>
      <c r="E47" s="72" t="s">
        <v>413</v>
      </c>
      <c r="F47" s="70" t="s">
        <v>414</v>
      </c>
      <c r="G47" s="76">
        <v>1</v>
      </c>
      <c r="H47" s="76">
        <v>4</v>
      </c>
      <c r="I47" s="76">
        <v>1</v>
      </c>
      <c r="J47" s="76">
        <v>2</v>
      </c>
      <c r="K47" s="76">
        <v>3</v>
      </c>
      <c r="L47" s="76">
        <f t="shared" si="0"/>
        <v>4</v>
      </c>
      <c r="M47" s="76">
        <v>2</v>
      </c>
      <c r="N47" s="74" t="str">
        <f>IF(ISBLANK(L47),"",VLOOKUP(L47,'2_Risk_Criteria'!$D$4:$I$9,M47+1,0))</f>
        <v>M8</v>
      </c>
      <c r="O47" s="76" t="str">
        <f>VLOOKUP(N47,'2_Risk_Criteria'!$I$28:$J$42,2,0)</f>
        <v>Control</v>
      </c>
      <c r="P47" s="75" t="s">
        <v>154</v>
      </c>
      <c r="Q47" s="70"/>
      <c r="R47" s="76" t="s">
        <v>155</v>
      </c>
      <c r="S47" s="71">
        <v>1</v>
      </c>
      <c r="T47" s="71">
        <v>2</v>
      </c>
      <c r="U47" s="71">
        <v>1</v>
      </c>
      <c r="V47" s="71">
        <v>2</v>
      </c>
      <c r="W47" s="71">
        <v>2</v>
      </c>
      <c r="X47" s="76">
        <f t="shared" si="1"/>
        <v>2</v>
      </c>
      <c r="Y47" s="76">
        <v>2</v>
      </c>
      <c r="Z47" s="79" t="str">
        <f>IF(OR(ISBLANK(L47),ISBLANK(l)),"",VLOOKUP(X47-0,'2_Risk_Criteria'!$D$4:$I$9,Y47+1,0))</f>
        <v>L4</v>
      </c>
      <c r="AA47" s="80" t="s">
        <v>92</v>
      </c>
    </row>
    <row r="48" spans="1:27" ht="91.2">
      <c r="A48" s="69">
        <v>45</v>
      </c>
      <c r="B48" s="70" t="s">
        <v>150</v>
      </c>
      <c r="C48" s="70" t="s">
        <v>151</v>
      </c>
      <c r="D48" s="76" t="s">
        <v>88</v>
      </c>
      <c r="E48" s="72" t="s">
        <v>415</v>
      </c>
      <c r="F48" s="70" t="s">
        <v>416</v>
      </c>
      <c r="G48" s="76">
        <v>1</v>
      </c>
      <c r="H48" s="76">
        <v>1</v>
      </c>
      <c r="I48" s="76">
        <v>3</v>
      </c>
      <c r="J48" s="76">
        <v>1</v>
      </c>
      <c r="K48" s="76">
        <v>1</v>
      </c>
      <c r="L48" s="76">
        <f t="shared" si="0"/>
        <v>3</v>
      </c>
      <c r="M48" s="76">
        <v>1</v>
      </c>
      <c r="N48" s="74" t="str">
        <f>IF(ISBLANK(L48),"",VLOOKUP(L48,'2_Risk_Criteria'!$D$4:$I$9,M48+1,0))</f>
        <v>L3</v>
      </c>
      <c r="O48" s="76" t="str">
        <f>VLOOKUP(N48,'2_Risk_Criteria'!$I$28:$J$42,2,0)</f>
        <v>Accept</v>
      </c>
      <c r="P48" s="75" t="s">
        <v>388</v>
      </c>
      <c r="Q48" s="70"/>
      <c r="R48" s="76"/>
      <c r="S48" s="74">
        <v>1</v>
      </c>
      <c r="T48" s="74">
        <v>1</v>
      </c>
      <c r="U48" s="74">
        <v>2</v>
      </c>
      <c r="V48" s="74">
        <v>1</v>
      </c>
      <c r="W48" s="74">
        <v>1</v>
      </c>
      <c r="X48" s="82">
        <f t="shared" si="1"/>
        <v>2</v>
      </c>
      <c r="Y48" s="82">
        <v>1</v>
      </c>
      <c r="Z48" s="79" t="str">
        <f>IF(OR(ISBLANK(L48),ISBLANK(l)),"",VLOOKUP(X48-0,'2_Risk_Criteria'!$D$4:$I$9,Y48+1,0))</f>
        <v>L2</v>
      </c>
      <c r="AA48" s="80" t="s">
        <v>92</v>
      </c>
    </row>
    <row r="49" spans="1:27" ht="91.2">
      <c r="A49" s="74">
        <v>46</v>
      </c>
      <c r="B49" s="70" t="s">
        <v>150</v>
      </c>
      <c r="C49" s="70" t="s">
        <v>151</v>
      </c>
      <c r="D49" s="76" t="s">
        <v>93</v>
      </c>
      <c r="E49" s="72" t="s">
        <v>156</v>
      </c>
      <c r="F49" s="70" t="s">
        <v>417</v>
      </c>
      <c r="G49" s="76">
        <v>1</v>
      </c>
      <c r="H49" s="76">
        <v>2</v>
      </c>
      <c r="I49" s="76">
        <v>1</v>
      </c>
      <c r="J49" s="76">
        <v>2</v>
      </c>
      <c r="K49" s="76">
        <v>1</v>
      </c>
      <c r="L49" s="76">
        <f t="shared" si="0"/>
        <v>2</v>
      </c>
      <c r="M49" s="76">
        <v>1</v>
      </c>
      <c r="N49" s="74" t="str">
        <f>IF(ISBLANK(L49),"",VLOOKUP(L49,'2_Risk_Criteria'!$D$4:$I$9,M49+1,0))</f>
        <v>L2</v>
      </c>
      <c r="O49" s="76" t="str">
        <f>VLOOKUP(N49,'2_Risk_Criteria'!$I$28:$J$42,2,0)</f>
        <v>Accept</v>
      </c>
      <c r="P49" s="75" t="s">
        <v>387</v>
      </c>
      <c r="Q49" s="70"/>
      <c r="R49" s="74"/>
      <c r="S49" s="74">
        <v>1</v>
      </c>
      <c r="T49" s="74">
        <v>2</v>
      </c>
      <c r="U49" s="74">
        <v>1</v>
      </c>
      <c r="V49" s="74">
        <v>1</v>
      </c>
      <c r="W49" s="74">
        <v>1</v>
      </c>
      <c r="X49" s="82">
        <f t="shared" si="1"/>
        <v>2</v>
      </c>
      <c r="Y49" s="82">
        <v>1</v>
      </c>
      <c r="Z49" s="79" t="str">
        <f>IF(OR(ISBLANK(L49),ISBLANK(l)),"",VLOOKUP(X49-0,'2_Risk_Criteria'!$D$4:$I$9,Y49+1,0))</f>
        <v>L2</v>
      </c>
      <c r="AA49" s="80" t="s">
        <v>92</v>
      </c>
    </row>
    <row r="50" spans="1:27" ht="91.2">
      <c r="A50" s="69">
        <v>47</v>
      </c>
      <c r="B50" s="70" t="s">
        <v>150</v>
      </c>
      <c r="C50" s="70" t="s">
        <v>151</v>
      </c>
      <c r="D50" s="76" t="s">
        <v>88</v>
      </c>
      <c r="E50" s="72" t="s">
        <v>157</v>
      </c>
      <c r="F50" s="70" t="s">
        <v>391</v>
      </c>
      <c r="G50" s="76">
        <v>1</v>
      </c>
      <c r="H50" s="76">
        <v>3</v>
      </c>
      <c r="I50" s="76">
        <v>2</v>
      </c>
      <c r="J50" s="76">
        <v>1</v>
      </c>
      <c r="K50" s="76">
        <v>1</v>
      </c>
      <c r="L50" s="76">
        <f t="shared" si="0"/>
        <v>3</v>
      </c>
      <c r="M50" s="76">
        <v>1</v>
      </c>
      <c r="N50" s="74" t="str">
        <f>IF(ISBLANK(L50),"",VLOOKUP(L50,'2_Risk_Criteria'!$D$4:$I$9,M50+1,0))</f>
        <v>L3</v>
      </c>
      <c r="O50" s="76" t="str">
        <f>VLOOKUP(N50,'2_Risk_Criteria'!$I$28:$J$42,2,0)</f>
        <v>Accept</v>
      </c>
      <c r="P50" s="75" t="s">
        <v>389</v>
      </c>
      <c r="Q50" s="93"/>
      <c r="R50" s="94"/>
      <c r="S50" s="74">
        <v>1</v>
      </c>
      <c r="T50" s="74">
        <v>3</v>
      </c>
      <c r="U50" s="74">
        <v>1</v>
      </c>
      <c r="V50" s="74">
        <v>1</v>
      </c>
      <c r="W50" s="74">
        <v>1</v>
      </c>
      <c r="X50" s="82">
        <f t="shared" si="1"/>
        <v>3</v>
      </c>
      <c r="Y50" s="82">
        <v>1</v>
      </c>
      <c r="Z50" s="79" t="str">
        <f>IF(OR(ISBLANK(L50),ISBLANK(l)),"",VLOOKUP(X50-0,'2_Risk_Criteria'!$D$4:$I$9,Y50+1,0))</f>
        <v>L3</v>
      </c>
      <c r="AA50" s="80" t="s">
        <v>92</v>
      </c>
    </row>
    <row r="51" spans="1:27" ht="136.80000000000001">
      <c r="A51" s="74">
        <v>48</v>
      </c>
      <c r="B51" s="70" t="s">
        <v>150</v>
      </c>
      <c r="C51" s="70" t="s">
        <v>151</v>
      </c>
      <c r="D51" s="82" t="s">
        <v>93</v>
      </c>
      <c r="E51" s="72" t="s">
        <v>418</v>
      </c>
      <c r="F51" s="70" t="s">
        <v>414</v>
      </c>
      <c r="G51" s="76">
        <v>1</v>
      </c>
      <c r="H51" s="76">
        <v>3</v>
      </c>
      <c r="I51" s="76">
        <v>1</v>
      </c>
      <c r="J51" s="76">
        <v>2</v>
      </c>
      <c r="K51" s="76">
        <v>3</v>
      </c>
      <c r="L51" s="76">
        <f t="shared" si="0"/>
        <v>3</v>
      </c>
      <c r="M51" s="76">
        <v>1</v>
      </c>
      <c r="N51" s="74" t="str">
        <f>IF(ISBLANK(L51),"",VLOOKUP(L51,'2_Risk_Criteria'!$D$4:$I$9,M51+1,0))</f>
        <v>L3</v>
      </c>
      <c r="O51" s="76" t="str">
        <f>VLOOKUP(N51,'2_Risk_Criteria'!$I$28:$J$42,2,0)</f>
        <v>Accept</v>
      </c>
      <c r="P51" s="75" t="s">
        <v>154</v>
      </c>
      <c r="Q51" s="70"/>
      <c r="R51" s="74"/>
      <c r="S51" s="74">
        <v>1</v>
      </c>
      <c r="T51" s="74">
        <v>3</v>
      </c>
      <c r="U51" s="74">
        <v>1</v>
      </c>
      <c r="V51" s="74">
        <v>1</v>
      </c>
      <c r="W51" s="74">
        <v>2</v>
      </c>
      <c r="X51" s="82">
        <f t="shared" si="1"/>
        <v>3</v>
      </c>
      <c r="Y51" s="82">
        <v>1</v>
      </c>
      <c r="Z51" s="79" t="str">
        <f>IF(OR(ISBLANK(L51),ISBLANK(l)),"",VLOOKUP(X51-0,'2_Risk_Criteria'!$D$4:$I$9,Y51+1,0))</f>
        <v>L3</v>
      </c>
      <c r="AA51" s="80" t="s">
        <v>92</v>
      </c>
    </row>
    <row r="52" spans="1:27" ht="159.6">
      <c r="A52" s="69">
        <v>49</v>
      </c>
      <c r="B52" s="70" t="s">
        <v>158</v>
      </c>
      <c r="C52" s="70" t="s">
        <v>151</v>
      </c>
      <c r="D52" s="76" t="s">
        <v>88</v>
      </c>
      <c r="E52" s="72" t="s">
        <v>419</v>
      </c>
      <c r="F52" s="72" t="s">
        <v>159</v>
      </c>
      <c r="G52" s="76">
        <v>4</v>
      </c>
      <c r="H52" s="76">
        <v>1</v>
      </c>
      <c r="I52" s="76">
        <v>4</v>
      </c>
      <c r="J52" s="76">
        <v>1</v>
      </c>
      <c r="K52" s="76">
        <v>1</v>
      </c>
      <c r="L52" s="76">
        <f t="shared" si="0"/>
        <v>4</v>
      </c>
      <c r="M52" s="76">
        <v>1</v>
      </c>
      <c r="N52" s="74" t="str">
        <f>IF(ISBLANK(L52),"",VLOOKUP(L52,'2_Risk_Criteria'!$D$4:$I$9,M52+1,0))</f>
        <v>L4</v>
      </c>
      <c r="O52" s="71" t="str">
        <f>VLOOKUP(N52,'2_Risk_Criteria'!$I$28:$J$42,2,0)</f>
        <v>Accept</v>
      </c>
      <c r="P52" s="75" t="s">
        <v>160</v>
      </c>
      <c r="Q52" s="70"/>
      <c r="R52" s="76" t="s">
        <v>161</v>
      </c>
      <c r="S52" s="71">
        <v>1</v>
      </c>
      <c r="T52" s="71">
        <v>1</v>
      </c>
      <c r="U52" s="71">
        <v>2</v>
      </c>
      <c r="V52" s="71">
        <v>1</v>
      </c>
      <c r="W52" s="71">
        <v>1</v>
      </c>
      <c r="X52" s="76">
        <f t="shared" si="1"/>
        <v>2</v>
      </c>
      <c r="Y52" s="76">
        <v>1</v>
      </c>
      <c r="Z52" s="79" t="str">
        <f>IF(OR(ISBLANK(L52),ISBLANK(l)),"",VLOOKUP(X52-0,'2_Risk_Criteria'!$D$4:$I$9,Y52+1,0))</f>
        <v>L2</v>
      </c>
      <c r="AA52" s="80" t="s">
        <v>92</v>
      </c>
    </row>
    <row r="53" spans="1:27" ht="159.6">
      <c r="A53" s="74">
        <v>50</v>
      </c>
      <c r="B53" s="70" t="s">
        <v>158</v>
      </c>
      <c r="C53" s="70" t="s">
        <v>151</v>
      </c>
      <c r="D53" s="76" t="s">
        <v>108</v>
      </c>
      <c r="E53" s="72" t="s">
        <v>162</v>
      </c>
      <c r="F53" s="70" t="s">
        <v>420</v>
      </c>
      <c r="G53" s="76">
        <v>1</v>
      </c>
      <c r="H53" s="76">
        <v>1</v>
      </c>
      <c r="I53" s="76">
        <v>4</v>
      </c>
      <c r="J53" s="76">
        <v>3</v>
      </c>
      <c r="K53" s="76">
        <v>1</v>
      </c>
      <c r="L53" s="76">
        <f t="shared" si="0"/>
        <v>4</v>
      </c>
      <c r="M53" s="76">
        <v>1</v>
      </c>
      <c r="N53" s="74" t="str">
        <f>IF(ISBLANK(L53),"",VLOOKUP(L53,'2_Risk_Criteria'!$D$4:$I$9,M53+1,0))</f>
        <v>L4</v>
      </c>
      <c r="O53" s="71" t="str">
        <f>VLOOKUP(N53,'2_Risk_Criteria'!$I$28:$J$42,2,0)</f>
        <v>Accept</v>
      </c>
      <c r="P53" s="75" t="s">
        <v>446</v>
      </c>
      <c r="Q53" s="70"/>
      <c r="R53" s="76" t="s">
        <v>163</v>
      </c>
      <c r="S53" s="71">
        <v>1</v>
      </c>
      <c r="T53" s="71">
        <v>1</v>
      </c>
      <c r="U53" s="71">
        <v>3</v>
      </c>
      <c r="V53" s="71">
        <v>2</v>
      </c>
      <c r="W53" s="71">
        <v>1</v>
      </c>
      <c r="X53" s="76">
        <f t="shared" si="1"/>
        <v>3</v>
      </c>
      <c r="Y53" s="76">
        <v>1</v>
      </c>
      <c r="Z53" s="79" t="str">
        <f>IF(OR(ISBLANK(L53),ISBLANK(l)),"",VLOOKUP(X53-0,'2_Risk_Criteria'!$D$4:$I$9,Y53+1,0))</f>
        <v>L3</v>
      </c>
      <c r="AA53" s="80" t="s">
        <v>92</v>
      </c>
    </row>
    <row r="54" spans="1:27" ht="159.6">
      <c r="A54" s="69">
        <v>51</v>
      </c>
      <c r="B54" s="70" t="s">
        <v>158</v>
      </c>
      <c r="C54" s="70" t="s">
        <v>151</v>
      </c>
      <c r="D54" s="71" t="s">
        <v>93</v>
      </c>
      <c r="E54" s="72" t="s">
        <v>525</v>
      </c>
      <c r="F54" s="70" t="s">
        <v>421</v>
      </c>
      <c r="G54" s="76">
        <v>1</v>
      </c>
      <c r="H54" s="76">
        <v>4</v>
      </c>
      <c r="I54" s="76">
        <v>1</v>
      </c>
      <c r="J54" s="76">
        <v>1</v>
      </c>
      <c r="K54" s="76">
        <v>1</v>
      </c>
      <c r="L54" s="76">
        <f t="shared" si="0"/>
        <v>4</v>
      </c>
      <c r="M54" s="76">
        <v>1</v>
      </c>
      <c r="N54" s="74" t="str">
        <f>IF(ISBLANK(L54),"",VLOOKUP(L54,'2_Risk_Criteria'!$D$4:$I$9,M54+1,0))</f>
        <v>L4</v>
      </c>
      <c r="O54" s="71" t="str">
        <f>VLOOKUP(N54,'2_Risk_Criteria'!$I$28:$J$42,2,0)</f>
        <v>Accept</v>
      </c>
      <c r="P54" s="75" t="s">
        <v>164</v>
      </c>
      <c r="Q54" s="70"/>
      <c r="R54" s="76" t="s">
        <v>163</v>
      </c>
      <c r="S54" s="71">
        <v>1</v>
      </c>
      <c r="T54" s="71">
        <v>3</v>
      </c>
      <c r="U54" s="71">
        <v>1</v>
      </c>
      <c r="V54" s="71">
        <v>1</v>
      </c>
      <c r="W54" s="71">
        <v>1</v>
      </c>
      <c r="X54" s="76">
        <f t="shared" si="1"/>
        <v>3</v>
      </c>
      <c r="Y54" s="76">
        <v>1</v>
      </c>
      <c r="Z54" s="79" t="str">
        <f>IF(OR(ISBLANK(L54),ISBLANK(l)),"",VLOOKUP(X54-0,'2_Risk_Criteria'!$D$4:$I$9,Y54+1,0))</f>
        <v>L3</v>
      </c>
      <c r="AA54" s="80" t="s">
        <v>92</v>
      </c>
    </row>
    <row r="55" spans="1:27" ht="159.6">
      <c r="A55" s="74">
        <v>52</v>
      </c>
      <c r="B55" s="70" t="s">
        <v>158</v>
      </c>
      <c r="C55" s="70" t="s">
        <v>151</v>
      </c>
      <c r="D55" s="71" t="s">
        <v>93</v>
      </c>
      <c r="E55" s="90" t="s">
        <v>165</v>
      </c>
      <c r="F55" s="70" t="s">
        <v>420</v>
      </c>
      <c r="G55" s="76">
        <v>1</v>
      </c>
      <c r="H55" s="76">
        <v>1</v>
      </c>
      <c r="I55" s="76">
        <v>4</v>
      </c>
      <c r="J55" s="76">
        <v>3</v>
      </c>
      <c r="K55" s="76">
        <v>1</v>
      </c>
      <c r="L55" s="76">
        <f t="shared" si="0"/>
        <v>4</v>
      </c>
      <c r="M55" s="76">
        <v>1</v>
      </c>
      <c r="N55" s="74" t="str">
        <f>IF(ISBLANK(L55),"",VLOOKUP(L55,'2_Risk_Criteria'!$D$4:$I$9,M55+1,0))</f>
        <v>L4</v>
      </c>
      <c r="O55" s="71" t="str">
        <f>VLOOKUP(N55,'2_Risk_Criteria'!$I$28:$J$42,2,0)</f>
        <v>Accept</v>
      </c>
      <c r="P55" s="75" t="s">
        <v>446</v>
      </c>
      <c r="Q55" s="90"/>
      <c r="R55" s="76" t="s">
        <v>163</v>
      </c>
      <c r="S55" s="74">
        <v>1</v>
      </c>
      <c r="T55" s="74">
        <v>1</v>
      </c>
      <c r="U55" s="74">
        <v>3</v>
      </c>
      <c r="V55" s="74">
        <v>2</v>
      </c>
      <c r="W55" s="74">
        <v>1</v>
      </c>
      <c r="X55" s="74">
        <f t="shared" si="1"/>
        <v>3</v>
      </c>
      <c r="Y55" s="74">
        <v>1</v>
      </c>
      <c r="Z55" s="79" t="str">
        <f>IF(OR(ISBLANK(L55),ISBLANK(l)),"",VLOOKUP(X55-0,'2_Risk_Criteria'!$D$4:$I$9,Y55+1,0))</f>
        <v>L3</v>
      </c>
      <c r="AA55" s="80" t="s">
        <v>92</v>
      </c>
    </row>
    <row r="56" spans="1:27" ht="45.6">
      <c r="A56" s="69">
        <v>53</v>
      </c>
      <c r="B56" s="95" t="s">
        <v>166</v>
      </c>
      <c r="C56" s="95" t="s">
        <v>125</v>
      </c>
      <c r="D56" s="71" t="s">
        <v>93</v>
      </c>
      <c r="E56" s="72" t="s">
        <v>167</v>
      </c>
      <c r="F56" s="70" t="s">
        <v>422</v>
      </c>
      <c r="G56" s="76">
        <v>1</v>
      </c>
      <c r="H56" s="76">
        <v>1</v>
      </c>
      <c r="I56" s="76">
        <v>1</v>
      </c>
      <c r="J56" s="76">
        <v>1</v>
      </c>
      <c r="K56" s="76">
        <v>3</v>
      </c>
      <c r="L56" s="76">
        <f t="shared" si="0"/>
        <v>3</v>
      </c>
      <c r="M56" s="76">
        <v>1</v>
      </c>
      <c r="N56" s="74" t="str">
        <f>IF(ISBLANK(L56),"",VLOOKUP(L56,'2_Risk_Criteria'!$D$4:$I$9,M56+1,0))</f>
        <v>L3</v>
      </c>
      <c r="O56" s="76" t="str">
        <f>VLOOKUP(N56,'2_Risk_Criteria'!$I$28:$J$42,2,0)</f>
        <v>Accept</v>
      </c>
      <c r="P56" s="70" t="s">
        <v>422</v>
      </c>
      <c r="Q56" s="70"/>
      <c r="R56" s="76"/>
      <c r="S56" s="74">
        <v>1</v>
      </c>
      <c r="T56" s="74">
        <v>1</v>
      </c>
      <c r="U56" s="74">
        <v>1</v>
      </c>
      <c r="V56" s="74">
        <v>1</v>
      </c>
      <c r="W56" s="74">
        <v>3</v>
      </c>
      <c r="X56" s="82">
        <f t="shared" si="1"/>
        <v>3</v>
      </c>
      <c r="Y56" s="82">
        <v>1</v>
      </c>
      <c r="Z56" s="79" t="str">
        <f>IF(OR(ISBLANK(L56),ISBLANK(l)),"",VLOOKUP(X56-0,'2_Risk_Criteria'!$D$4:$I$9,Y56+1,0))</f>
        <v>L3</v>
      </c>
      <c r="AA56" s="80" t="s">
        <v>92</v>
      </c>
    </row>
    <row r="57" spans="1:27" ht="45.6">
      <c r="A57" s="74">
        <v>54</v>
      </c>
      <c r="B57" s="95" t="s">
        <v>166</v>
      </c>
      <c r="C57" s="95" t="s">
        <v>125</v>
      </c>
      <c r="D57" s="71" t="s">
        <v>93</v>
      </c>
      <c r="E57" s="96" t="s">
        <v>168</v>
      </c>
      <c r="F57" s="70" t="s">
        <v>169</v>
      </c>
      <c r="G57" s="76">
        <v>1</v>
      </c>
      <c r="H57" s="76">
        <v>1</v>
      </c>
      <c r="I57" s="76">
        <v>1</v>
      </c>
      <c r="J57" s="76">
        <v>1</v>
      </c>
      <c r="K57" s="76">
        <v>3</v>
      </c>
      <c r="L57" s="76">
        <f t="shared" si="0"/>
        <v>3</v>
      </c>
      <c r="M57" s="76">
        <v>1</v>
      </c>
      <c r="N57" s="74" t="str">
        <f>IF(ISBLANK(L57),"",VLOOKUP(L57,'2_Risk_Criteria'!$D$4:$I$9,M57+1,0))</f>
        <v>L3</v>
      </c>
      <c r="O57" s="76" t="str">
        <f>VLOOKUP(N57,'2_Risk_Criteria'!$I$28:$J$42,2,0)</f>
        <v>Accept</v>
      </c>
      <c r="P57" s="70" t="s">
        <v>169</v>
      </c>
      <c r="Q57" s="70"/>
      <c r="R57" s="76"/>
      <c r="S57" s="74">
        <v>1</v>
      </c>
      <c r="T57" s="74">
        <v>1</v>
      </c>
      <c r="U57" s="74">
        <v>1</v>
      </c>
      <c r="V57" s="74">
        <v>1</v>
      </c>
      <c r="W57" s="74">
        <v>3</v>
      </c>
      <c r="X57" s="82">
        <f t="shared" si="1"/>
        <v>3</v>
      </c>
      <c r="Y57" s="82">
        <v>1</v>
      </c>
      <c r="Z57" s="79" t="str">
        <f>IF(OR(ISBLANK(L57),ISBLANK(l)),"",VLOOKUP(X57-0,'2_Risk_Criteria'!$D$4:$I$9,Y57+1,0))</f>
        <v>L3</v>
      </c>
      <c r="AA57" s="80" t="s">
        <v>92</v>
      </c>
    </row>
    <row r="58" spans="1:27" ht="68.400000000000006">
      <c r="A58" s="69">
        <v>55</v>
      </c>
      <c r="B58" s="95" t="s">
        <v>166</v>
      </c>
      <c r="C58" s="95" t="s">
        <v>125</v>
      </c>
      <c r="D58" s="71" t="s">
        <v>93</v>
      </c>
      <c r="E58" s="96" t="s">
        <v>390</v>
      </c>
      <c r="F58" s="84" t="s">
        <v>423</v>
      </c>
      <c r="G58" s="76">
        <v>1</v>
      </c>
      <c r="H58" s="76">
        <v>3</v>
      </c>
      <c r="I58" s="76">
        <v>1</v>
      </c>
      <c r="J58" s="76">
        <v>1</v>
      </c>
      <c r="K58" s="76">
        <v>1</v>
      </c>
      <c r="L58" s="76">
        <f t="shared" si="0"/>
        <v>3</v>
      </c>
      <c r="M58" s="76">
        <v>1</v>
      </c>
      <c r="N58" s="74" t="str">
        <f>IF(ISBLANK(L58),"",VLOOKUP(L58,'2_Risk_Criteria'!$D$4:$I$9,M58+1,0))</f>
        <v>L3</v>
      </c>
      <c r="O58" s="76" t="str">
        <f>VLOOKUP(N58,'2_Risk_Criteria'!$I$28:$J$42,2,0)</f>
        <v>Accept</v>
      </c>
      <c r="P58" s="84" t="s">
        <v>423</v>
      </c>
      <c r="Q58" s="70"/>
      <c r="R58" s="76"/>
      <c r="S58" s="74">
        <v>1</v>
      </c>
      <c r="T58" s="74">
        <v>3</v>
      </c>
      <c r="U58" s="74">
        <v>1</v>
      </c>
      <c r="V58" s="74">
        <v>1</v>
      </c>
      <c r="W58" s="74">
        <v>1</v>
      </c>
      <c r="X58" s="82">
        <f t="shared" si="1"/>
        <v>3</v>
      </c>
      <c r="Y58" s="82">
        <v>1</v>
      </c>
      <c r="Z58" s="79" t="str">
        <f>IF(OR(ISBLANK(L58),ISBLANK(l)),"",VLOOKUP(X58-0,'2_Risk_Criteria'!$D$4:$I$9,Y58+1,0))</f>
        <v>L3</v>
      </c>
      <c r="AA58" s="80" t="s">
        <v>92</v>
      </c>
    </row>
    <row r="59" spans="1:27" ht="68.400000000000006">
      <c r="A59" s="74">
        <v>56</v>
      </c>
      <c r="B59" s="95" t="s">
        <v>166</v>
      </c>
      <c r="C59" s="95" t="s">
        <v>125</v>
      </c>
      <c r="D59" s="71" t="s">
        <v>93</v>
      </c>
      <c r="E59" s="96" t="s">
        <v>172</v>
      </c>
      <c r="F59" s="95" t="s">
        <v>424</v>
      </c>
      <c r="G59" s="76">
        <v>1</v>
      </c>
      <c r="H59" s="76">
        <v>1</v>
      </c>
      <c r="I59" s="76">
        <v>1</v>
      </c>
      <c r="J59" s="76">
        <v>1</v>
      </c>
      <c r="K59" s="76">
        <v>1</v>
      </c>
      <c r="L59" s="76">
        <f t="shared" si="0"/>
        <v>1</v>
      </c>
      <c r="M59" s="76">
        <v>1</v>
      </c>
      <c r="N59" s="74" t="str">
        <f>IF(ISBLANK(L59),"",VLOOKUP(L59,'2_Risk_Criteria'!$D$4:$I$9,M59+1,0))</f>
        <v>L1</v>
      </c>
      <c r="O59" s="76" t="str">
        <f>VLOOKUP(N59,'2_Risk_Criteria'!$I$28:$J$42,2,0)</f>
        <v>Accept</v>
      </c>
      <c r="P59" s="95" t="s">
        <v>424</v>
      </c>
      <c r="Q59" s="70"/>
      <c r="R59" s="76"/>
      <c r="S59" s="74">
        <v>1</v>
      </c>
      <c r="T59" s="74">
        <v>1</v>
      </c>
      <c r="U59" s="74">
        <v>1</v>
      </c>
      <c r="V59" s="74">
        <v>1</v>
      </c>
      <c r="W59" s="74">
        <v>1</v>
      </c>
      <c r="X59" s="82">
        <f t="shared" si="1"/>
        <v>1</v>
      </c>
      <c r="Y59" s="82">
        <v>1</v>
      </c>
      <c r="Z59" s="79" t="str">
        <f>IF(OR(ISBLANK(L59),ISBLANK(l)),"",VLOOKUP(X59-0,'2_Risk_Criteria'!$D$4:$I$9,Y59+1,0))</f>
        <v>L1</v>
      </c>
      <c r="AA59" s="80" t="s">
        <v>92</v>
      </c>
    </row>
    <row r="60" spans="1:27" ht="114">
      <c r="A60" s="69">
        <v>57</v>
      </c>
      <c r="B60" s="95" t="s">
        <v>166</v>
      </c>
      <c r="C60" s="95" t="s">
        <v>125</v>
      </c>
      <c r="D60" s="71" t="s">
        <v>93</v>
      </c>
      <c r="E60" s="90" t="s">
        <v>425</v>
      </c>
      <c r="F60" s="70" t="s">
        <v>426</v>
      </c>
      <c r="G60" s="76">
        <v>1</v>
      </c>
      <c r="H60" s="76">
        <v>3</v>
      </c>
      <c r="I60" s="76">
        <v>1</v>
      </c>
      <c r="J60" s="76">
        <v>1</v>
      </c>
      <c r="K60" s="76">
        <v>2</v>
      </c>
      <c r="L60" s="76">
        <f t="shared" si="0"/>
        <v>3</v>
      </c>
      <c r="M60" s="76">
        <v>1</v>
      </c>
      <c r="N60" s="74" t="str">
        <f>IF(ISBLANK(L60),"",VLOOKUP(L60,'2_Risk_Criteria'!$D$4:$I$9,M60+1,0))</f>
        <v>L3</v>
      </c>
      <c r="O60" s="76" t="str">
        <f>VLOOKUP(N60,'2_Risk_Criteria'!$I$28:$J$42,2,0)</f>
        <v>Accept</v>
      </c>
      <c r="P60" s="75" t="s">
        <v>170</v>
      </c>
      <c r="Q60" s="70"/>
      <c r="R60" s="76"/>
      <c r="S60" s="74">
        <v>1</v>
      </c>
      <c r="T60" s="74">
        <v>3</v>
      </c>
      <c r="U60" s="74">
        <v>1</v>
      </c>
      <c r="V60" s="74">
        <v>1</v>
      </c>
      <c r="W60" s="74">
        <v>1</v>
      </c>
      <c r="X60" s="82">
        <f t="shared" si="1"/>
        <v>3</v>
      </c>
      <c r="Y60" s="82">
        <v>1</v>
      </c>
      <c r="Z60" s="79" t="str">
        <f>IF(OR(ISBLANK(L60),ISBLANK(l)),"",VLOOKUP(X60-0,'2_Risk_Criteria'!$D$4:$I$9,Y60+1,0))</f>
        <v>L3</v>
      </c>
      <c r="AA60" s="80" t="s">
        <v>171</v>
      </c>
    </row>
    <row r="61" spans="1:27" ht="68.400000000000006">
      <c r="A61" s="74">
        <v>58</v>
      </c>
      <c r="B61" s="97" t="s">
        <v>166</v>
      </c>
      <c r="C61" s="97" t="s">
        <v>125</v>
      </c>
      <c r="D61" s="98" t="s">
        <v>93</v>
      </c>
      <c r="E61" s="99" t="s">
        <v>172</v>
      </c>
      <c r="F61" s="97" t="s">
        <v>173</v>
      </c>
      <c r="G61" s="98">
        <v>1</v>
      </c>
      <c r="H61" s="98">
        <v>2</v>
      </c>
      <c r="I61" s="98">
        <v>2</v>
      </c>
      <c r="J61" s="98">
        <v>2</v>
      </c>
      <c r="K61" s="98">
        <v>1</v>
      </c>
      <c r="L61" s="98">
        <f t="shared" si="0"/>
        <v>2</v>
      </c>
      <c r="M61" s="98">
        <v>3</v>
      </c>
      <c r="N61" s="74" t="str">
        <f>IF(ISBLANK(L61),"",VLOOKUP(L61,'2_Risk_Criteria'!$D$4:$I$9,M61+1,0))</f>
        <v>M6</v>
      </c>
      <c r="O61" s="100" t="str">
        <f>VLOOKUP(N61,'2_Risk_Criteria'!$I$28:$J$42,2,0)</f>
        <v>Control</v>
      </c>
      <c r="P61" s="101" t="s">
        <v>174</v>
      </c>
      <c r="Q61" s="102"/>
      <c r="R61" s="90"/>
      <c r="S61" s="74">
        <v>1</v>
      </c>
      <c r="T61" s="74">
        <v>1</v>
      </c>
      <c r="U61" s="74">
        <v>1</v>
      </c>
      <c r="V61" s="74">
        <v>1</v>
      </c>
      <c r="W61" s="74">
        <v>1</v>
      </c>
      <c r="X61" s="74">
        <f t="shared" si="1"/>
        <v>1</v>
      </c>
      <c r="Y61" s="74">
        <v>3</v>
      </c>
      <c r="Z61" s="79" t="str">
        <f>IF(OR(ISBLANK(L61),ISBLANK(l)),"",VLOOKUP(X61-0,'2_Risk_Criteria'!$D$4:$I$9,Y61+1,0))</f>
        <v>L3</v>
      </c>
      <c r="AA61" s="80" t="s">
        <v>171</v>
      </c>
    </row>
    <row r="62" spans="1:27" ht="45.6">
      <c r="A62" s="69">
        <v>59</v>
      </c>
      <c r="B62" s="99" t="s">
        <v>175</v>
      </c>
      <c r="C62" s="102" t="s">
        <v>151</v>
      </c>
      <c r="D62" s="98" t="s">
        <v>88</v>
      </c>
      <c r="E62" s="99" t="s">
        <v>176</v>
      </c>
      <c r="F62" s="99" t="s">
        <v>177</v>
      </c>
      <c r="G62" s="98">
        <v>1</v>
      </c>
      <c r="H62" s="98">
        <v>3</v>
      </c>
      <c r="I62" s="98">
        <v>2</v>
      </c>
      <c r="J62" s="98">
        <v>2</v>
      </c>
      <c r="K62" s="98">
        <v>2</v>
      </c>
      <c r="L62" s="98">
        <f t="shared" si="0"/>
        <v>3</v>
      </c>
      <c r="M62" s="98">
        <v>3</v>
      </c>
      <c r="N62" s="74" t="str">
        <f>IF(ISBLANK(L62),"",VLOOKUP(L62,'2_Risk_Criteria'!$D$4:$I$9,M62+1,0))</f>
        <v>M9</v>
      </c>
      <c r="O62" s="100" t="str">
        <f>VLOOKUP(N62,'2_Risk_Criteria'!$I$28:$J$42,2,0)</f>
        <v>Control</v>
      </c>
      <c r="P62" s="103" t="s">
        <v>178</v>
      </c>
      <c r="Q62" s="102"/>
      <c r="R62" s="90"/>
      <c r="S62" s="74">
        <v>1</v>
      </c>
      <c r="T62" s="74">
        <v>3</v>
      </c>
      <c r="U62" s="74">
        <v>2</v>
      </c>
      <c r="V62" s="74">
        <v>2</v>
      </c>
      <c r="W62" s="74">
        <v>2</v>
      </c>
      <c r="X62" s="74">
        <f t="shared" si="1"/>
        <v>3</v>
      </c>
      <c r="Y62" s="74">
        <v>1</v>
      </c>
      <c r="Z62" s="79" t="str">
        <f>IF(OR(ISBLANK(L62),ISBLANK(l)),"",VLOOKUP(X62-0,'2_Risk_Criteria'!$D$4:$I$9,Y62+1,0))</f>
        <v>L3</v>
      </c>
      <c r="AA62" s="80" t="s">
        <v>171</v>
      </c>
    </row>
    <row r="63" spans="1:27" ht="91.2">
      <c r="A63" s="74">
        <v>60</v>
      </c>
      <c r="B63" s="99" t="s">
        <v>175</v>
      </c>
      <c r="C63" s="102" t="s">
        <v>151</v>
      </c>
      <c r="D63" s="104" t="s">
        <v>93</v>
      </c>
      <c r="E63" s="105" t="s">
        <v>179</v>
      </c>
      <c r="F63" s="99" t="s">
        <v>519</v>
      </c>
      <c r="G63" s="98">
        <v>1</v>
      </c>
      <c r="H63" s="98">
        <v>2</v>
      </c>
      <c r="I63" s="98">
        <v>3</v>
      </c>
      <c r="J63" s="98">
        <v>3</v>
      </c>
      <c r="K63" s="98">
        <v>2</v>
      </c>
      <c r="L63" s="98">
        <f t="shared" si="0"/>
        <v>3</v>
      </c>
      <c r="M63" s="98">
        <v>3</v>
      </c>
      <c r="N63" s="74" t="str">
        <f>IF(ISBLANK(L63),"",VLOOKUP(L63,'2_Risk_Criteria'!$D$4:$I$9,M63+1,0))</f>
        <v>M9</v>
      </c>
      <c r="O63" s="100" t="str">
        <f>VLOOKUP(N63,'2_Risk_Criteria'!$I$28:$J$42,2,0)</f>
        <v>Control</v>
      </c>
      <c r="P63" s="103" t="s">
        <v>180</v>
      </c>
      <c r="Q63" s="102"/>
      <c r="R63" s="90"/>
      <c r="S63" s="74">
        <v>1</v>
      </c>
      <c r="T63" s="74">
        <v>2</v>
      </c>
      <c r="U63" s="74">
        <v>3</v>
      </c>
      <c r="V63" s="74">
        <v>3</v>
      </c>
      <c r="W63" s="74">
        <v>2</v>
      </c>
      <c r="X63" s="74">
        <f t="shared" si="1"/>
        <v>3</v>
      </c>
      <c r="Y63" s="74">
        <v>1</v>
      </c>
      <c r="Z63" s="79" t="str">
        <f>IF(OR(ISBLANK(L63),ISBLANK(l)),"",VLOOKUP(X63-0,'2_Risk_Criteria'!$D$4:$I$9,Y63+1,0))</f>
        <v>L3</v>
      </c>
      <c r="AA63" s="80" t="s">
        <v>171</v>
      </c>
    </row>
    <row r="64" spans="1:27" ht="68.400000000000006">
      <c r="A64" s="69">
        <v>61</v>
      </c>
      <c r="B64" s="99" t="s">
        <v>175</v>
      </c>
      <c r="C64" s="102" t="s">
        <v>151</v>
      </c>
      <c r="D64" s="98" t="s">
        <v>88</v>
      </c>
      <c r="E64" s="99" t="s">
        <v>181</v>
      </c>
      <c r="F64" s="99" t="s">
        <v>182</v>
      </c>
      <c r="G64" s="98">
        <v>1</v>
      </c>
      <c r="H64" s="98">
        <v>2</v>
      </c>
      <c r="I64" s="98">
        <v>2</v>
      </c>
      <c r="J64" s="98">
        <v>2</v>
      </c>
      <c r="K64" s="98">
        <v>1</v>
      </c>
      <c r="L64" s="98">
        <f t="shared" si="0"/>
        <v>2</v>
      </c>
      <c r="M64" s="98">
        <v>3</v>
      </c>
      <c r="N64" s="74" t="str">
        <f>IF(ISBLANK(L64),"",VLOOKUP(L64,'2_Risk_Criteria'!$D$4:$I$9,M64+1,0))</f>
        <v>M6</v>
      </c>
      <c r="O64" s="104" t="str">
        <f>VLOOKUP(N64,'2_Risk_Criteria'!$I$28:$J$42,2,0)</f>
        <v>Control</v>
      </c>
      <c r="P64" s="103" t="s">
        <v>183</v>
      </c>
      <c r="Q64" s="102"/>
      <c r="R64" s="90"/>
      <c r="S64" s="74">
        <v>1</v>
      </c>
      <c r="T64" s="74">
        <v>2</v>
      </c>
      <c r="U64" s="74">
        <v>2</v>
      </c>
      <c r="V64" s="74">
        <v>2</v>
      </c>
      <c r="W64" s="74">
        <v>1</v>
      </c>
      <c r="X64" s="74">
        <f t="shared" si="1"/>
        <v>2</v>
      </c>
      <c r="Y64" s="74">
        <v>2</v>
      </c>
      <c r="Z64" s="79" t="str">
        <f>IF(OR(ISBLANK(L64),ISBLANK(l)),"",VLOOKUP(X64-0,'2_Risk_Criteria'!$D$4:$I$9,Y64+1,0))</f>
        <v>L4</v>
      </c>
      <c r="AA64" s="80" t="s">
        <v>171</v>
      </c>
    </row>
    <row r="65" spans="1:27" ht="114">
      <c r="A65" s="74">
        <v>62</v>
      </c>
      <c r="B65" s="99" t="s">
        <v>175</v>
      </c>
      <c r="C65" s="102" t="s">
        <v>151</v>
      </c>
      <c r="D65" s="98" t="s">
        <v>93</v>
      </c>
      <c r="E65" s="99" t="s">
        <v>184</v>
      </c>
      <c r="F65" s="99" t="s">
        <v>185</v>
      </c>
      <c r="G65" s="98">
        <v>1</v>
      </c>
      <c r="H65" s="98">
        <v>3</v>
      </c>
      <c r="I65" s="98">
        <v>3</v>
      </c>
      <c r="J65" s="98">
        <v>3</v>
      </c>
      <c r="K65" s="98">
        <v>2</v>
      </c>
      <c r="L65" s="98">
        <f t="shared" si="0"/>
        <v>3</v>
      </c>
      <c r="M65" s="98">
        <v>3</v>
      </c>
      <c r="N65" s="74" t="str">
        <f>IF(ISBLANK(L65),"",VLOOKUP(L65,'2_Risk_Criteria'!$D$4:$I$9,M65+1,0))</f>
        <v>M9</v>
      </c>
      <c r="O65" s="100" t="str">
        <f>VLOOKUP(N65,'2_Risk_Criteria'!$I$28:$J$42,2,0)</f>
        <v>Control</v>
      </c>
      <c r="P65" s="103" t="s">
        <v>186</v>
      </c>
      <c r="Q65" s="102"/>
      <c r="R65" s="90"/>
      <c r="S65" s="74">
        <v>1</v>
      </c>
      <c r="T65" s="74">
        <v>2</v>
      </c>
      <c r="U65" s="74">
        <v>2</v>
      </c>
      <c r="V65" s="74">
        <v>2</v>
      </c>
      <c r="W65" s="74">
        <v>2</v>
      </c>
      <c r="X65" s="74">
        <f t="shared" si="1"/>
        <v>2</v>
      </c>
      <c r="Y65" s="74">
        <v>2</v>
      </c>
      <c r="Z65" s="79" t="str">
        <f>IF(OR(ISBLANK(L65),ISBLANK(l)),"",VLOOKUP(X65-0,'2_Risk_Criteria'!$D$4:$I$9,Y65+1,0))</f>
        <v>L4</v>
      </c>
      <c r="AA65" s="80" t="s">
        <v>171</v>
      </c>
    </row>
    <row r="66" spans="1:27" ht="91.2">
      <c r="A66" s="69">
        <v>63</v>
      </c>
      <c r="B66" s="99" t="s">
        <v>175</v>
      </c>
      <c r="C66" s="102" t="s">
        <v>151</v>
      </c>
      <c r="D66" s="104" t="s">
        <v>93</v>
      </c>
      <c r="E66" s="105" t="s">
        <v>187</v>
      </c>
      <c r="F66" s="99" t="s">
        <v>188</v>
      </c>
      <c r="G66" s="98">
        <v>1</v>
      </c>
      <c r="H66" s="98">
        <v>2</v>
      </c>
      <c r="I66" s="98">
        <v>2</v>
      </c>
      <c r="J66" s="98">
        <v>2</v>
      </c>
      <c r="K66" s="98">
        <v>1</v>
      </c>
      <c r="L66" s="98">
        <f t="shared" si="0"/>
        <v>2</v>
      </c>
      <c r="M66" s="98">
        <v>3</v>
      </c>
      <c r="N66" s="74" t="str">
        <f>IF(ISBLANK(L66),"",VLOOKUP(L66,'2_Risk_Criteria'!$D$4:$I$9,M66+1,0))</f>
        <v>M6</v>
      </c>
      <c r="O66" s="106" t="str">
        <f>VLOOKUP(N66,'2_Risk_Criteria'!$I$28:$J$42,2,0)</f>
        <v>Control</v>
      </c>
      <c r="P66" s="107" t="s">
        <v>189</v>
      </c>
      <c r="Q66" s="108"/>
      <c r="R66" s="90"/>
      <c r="S66" s="74">
        <v>1</v>
      </c>
      <c r="T66" s="74">
        <v>2</v>
      </c>
      <c r="U66" s="74">
        <v>2</v>
      </c>
      <c r="V66" s="74">
        <v>2</v>
      </c>
      <c r="W66" s="74">
        <v>1</v>
      </c>
      <c r="X66" s="74">
        <f t="shared" si="1"/>
        <v>2</v>
      </c>
      <c r="Y66" s="74">
        <v>2</v>
      </c>
      <c r="Z66" s="79" t="str">
        <f>IF(OR(ISBLANK(L66),ISBLANK(l)),"",VLOOKUP(X66-0,'2_Risk_Criteria'!$D$4:$I$9,Y66+1,0))</f>
        <v>L4</v>
      </c>
      <c r="AA66" s="80" t="s">
        <v>171</v>
      </c>
    </row>
    <row r="67" spans="1:27" ht="68.400000000000006">
      <c r="A67" s="74">
        <v>64</v>
      </c>
      <c r="B67" s="99" t="s">
        <v>175</v>
      </c>
      <c r="C67" s="102" t="s">
        <v>151</v>
      </c>
      <c r="D67" s="100" t="s">
        <v>93</v>
      </c>
      <c r="E67" s="102" t="s">
        <v>190</v>
      </c>
      <c r="F67" s="102" t="s">
        <v>111</v>
      </c>
      <c r="G67" s="98">
        <v>1</v>
      </c>
      <c r="H67" s="98">
        <v>3</v>
      </c>
      <c r="I67" s="98">
        <v>3</v>
      </c>
      <c r="J67" s="98">
        <v>3</v>
      </c>
      <c r="K67" s="98">
        <v>2</v>
      </c>
      <c r="L67" s="98">
        <f t="shared" si="0"/>
        <v>3</v>
      </c>
      <c r="M67" s="98">
        <v>3</v>
      </c>
      <c r="N67" s="74" t="str">
        <f>IF(ISBLANK(L67),"",VLOOKUP(L67,'2_Risk_Criteria'!$D$4:$I$9,M67+1,0))</f>
        <v>M9</v>
      </c>
      <c r="O67" s="100" t="str">
        <f>VLOOKUP(N67,'2_Risk_Criteria'!$I$28:$J$42,2,0)</f>
        <v>Control</v>
      </c>
      <c r="P67" s="103" t="s">
        <v>191</v>
      </c>
      <c r="Q67" s="102"/>
      <c r="R67" s="90"/>
      <c r="S67" s="74">
        <v>1</v>
      </c>
      <c r="T67" s="74">
        <v>2</v>
      </c>
      <c r="U67" s="74">
        <v>2</v>
      </c>
      <c r="V67" s="74">
        <v>2</v>
      </c>
      <c r="W67" s="74">
        <v>2</v>
      </c>
      <c r="X67" s="74">
        <f t="shared" si="1"/>
        <v>2</v>
      </c>
      <c r="Y67" s="74">
        <v>2</v>
      </c>
      <c r="Z67" s="79" t="str">
        <f>IF(OR(ISBLANK(L67),ISBLANK(l)),"",VLOOKUP(X67-0,'2_Risk_Criteria'!$D$4:$I$9,Y67+1,0))</f>
        <v>L4</v>
      </c>
      <c r="AA67" s="80" t="s">
        <v>171</v>
      </c>
    </row>
    <row r="68" spans="1:27" ht="91.2">
      <c r="A68" s="69">
        <v>65</v>
      </c>
      <c r="B68" s="99" t="s">
        <v>175</v>
      </c>
      <c r="C68" s="102" t="s">
        <v>151</v>
      </c>
      <c r="D68" s="100" t="s">
        <v>88</v>
      </c>
      <c r="E68" s="102" t="s">
        <v>192</v>
      </c>
      <c r="F68" s="102" t="s">
        <v>111</v>
      </c>
      <c r="G68" s="98">
        <v>1</v>
      </c>
      <c r="H68" s="98">
        <v>2</v>
      </c>
      <c r="I68" s="98">
        <v>2</v>
      </c>
      <c r="J68" s="98">
        <v>2</v>
      </c>
      <c r="K68" s="98">
        <v>1</v>
      </c>
      <c r="L68" s="98">
        <f t="shared" si="0"/>
        <v>2</v>
      </c>
      <c r="M68" s="98">
        <v>3</v>
      </c>
      <c r="N68" s="74" t="str">
        <f>IF(ISBLANK(L68),"",VLOOKUP(L68,'2_Risk_Criteria'!$D$4:$I$9,M68+1,0))</f>
        <v>M6</v>
      </c>
      <c r="O68" s="98" t="str">
        <f>VLOOKUP(N68,'2_Risk_Criteria'!$I$28:$J$42,2,0)</f>
        <v>Control</v>
      </c>
      <c r="P68" s="103" t="s">
        <v>193</v>
      </c>
      <c r="Q68" s="102"/>
      <c r="R68" s="90"/>
      <c r="S68" s="74">
        <v>1</v>
      </c>
      <c r="T68" s="74">
        <v>2</v>
      </c>
      <c r="U68" s="74">
        <v>2</v>
      </c>
      <c r="V68" s="74">
        <v>2</v>
      </c>
      <c r="W68" s="74">
        <v>1</v>
      </c>
      <c r="X68" s="74">
        <f t="shared" si="1"/>
        <v>2</v>
      </c>
      <c r="Y68" s="74">
        <v>2</v>
      </c>
      <c r="Z68" s="79" t="str">
        <f>IF(OR(ISBLANK(L68),ISBLANK(l)),"",VLOOKUP(X68-0,'2_Risk_Criteria'!$D$4:$I$9,Y68+1,0))</f>
        <v>L4</v>
      </c>
      <c r="AA68" s="80" t="s">
        <v>171</v>
      </c>
    </row>
    <row r="69" spans="1:27" ht="137.4" thickBot="1">
      <c r="A69" s="74">
        <v>66</v>
      </c>
      <c r="B69" s="99" t="s">
        <v>175</v>
      </c>
      <c r="C69" s="102" t="s">
        <v>151</v>
      </c>
      <c r="D69" s="100" t="s">
        <v>108</v>
      </c>
      <c r="E69" s="102" t="s">
        <v>194</v>
      </c>
      <c r="F69" s="102" t="s">
        <v>111</v>
      </c>
      <c r="G69" s="98">
        <v>1</v>
      </c>
      <c r="H69" s="98">
        <v>3</v>
      </c>
      <c r="I69" s="98">
        <v>3</v>
      </c>
      <c r="J69" s="98">
        <v>3</v>
      </c>
      <c r="K69" s="98">
        <v>2</v>
      </c>
      <c r="L69" s="98">
        <f t="shared" ref="L69:L73" si="2">IFERROR(MAX(G69:K69),"")</f>
        <v>3</v>
      </c>
      <c r="M69" s="98">
        <v>3</v>
      </c>
      <c r="N69" s="74" t="str">
        <f>IF(ISBLANK(L69),"",VLOOKUP(L69,'2_Risk_Criteria'!$D$4:$I$9,M69+1,0))</f>
        <v>M9</v>
      </c>
      <c r="O69" s="98" t="str">
        <f>VLOOKUP(N69,'2_Risk_Criteria'!$I$28:$J$42,2,0)</f>
        <v>Control</v>
      </c>
      <c r="P69" s="103" t="s">
        <v>195</v>
      </c>
      <c r="Q69" s="102"/>
      <c r="R69" s="90"/>
      <c r="S69" s="74">
        <v>1</v>
      </c>
      <c r="T69" s="74">
        <v>2</v>
      </c>
      <c r="U69" s="74">
        <v>2</v>
      </c>
      <c r="V69" s="74">
        <v>2</v>
      </c>
      <c r="W69" s="74">
        <v>2</v>
      </c>
      <c r="X69" s="74">
        <f t="shared" ref="X69:X73" si="3">IFERROR(MAX(S69:W69),"")</f>
        <v>2</v>
      </c>
      <c r="Y69" s="74">
        <v>2</v>
      </c>
      <c r="Z69" s="109" t="str">
        <f>IF(OR(ISBLANK(L69),ISBLANK(l)),"",VLOOKUP(X69-0,'2_Risk_Criteria'!$D$4:$I$9,Y69+1,0))</f>
        <v>L4</v>
      </c>
      <c r="AA69" s="110" t="s">
        <v>171</v>
      </c>
    </row>
    <row r="70" spans="1:27" ht="68.400000000000006">
      <c r="A70" s="74">
        <v>67</v>
      </c>
      <c r="B70" s="72" t="s">
        <v>126</v>
      </c>
      <c r="C70" s="70" t="s">
        <v>125</v>
      </c>
      <c r="D70" s="111" t="s">
        <v>108</v>
      </c>
      <c r="E70" s="72" t="s">
        <v>196</v>
      </c>
      <c r="F70" s="70" t="s">
        <v>427</v>
      </c>
      <c r="G70" s="76">
        <v>3</v>
      </c>
      <c r="H70" s="76">
        <v>1</v>
      </c>
      <c r="I70" s="76">
        <v>3</v>
      </c>
      <c r="J70" s="76">
        <v>1</v>
      </c>
      <c r="K70" s="76">
        <v>1</v>
      </c>
      <c r="L70" s="76">
        <f t="shared" si="2"/>
        <v>3</v>
      </c>
      <c r="M70" s="76">
        <v>1</v>
      </c>
      <c r="N70" s="74" t="str">
        <f>IF(ISBLANK(L70),"",VLOOKUP(L70,'2_Risk_Criteria'!$D$4:$I$9,M70+1,0))</f>
        <v>L3</v>
      </c>
      <c r="O70" s="76" t="str">
        <f>VLOOKUP(N70,'2_Risk_Criteria'!$I$28:$J$42,2,0)</f>
        <v>Accept</v>
      </c>
      <c r="P70" s="75" t="s">
        <v>197</v>
      </c>
      <c r="Q70" s="70"/>
      <c r="R70" s="76"/>
      <c r="S70" s="76">
        <v>3</v>
      </c>
      <c r="T70" s="76">
        <v>1</v>
      </c>
      <c r="U70" s="76">
        <v>3</v>
      </c>
      <c r="V70" s="76">
        <v>1</v>
      </c>
      <c r="W70" s="76">
        <v>1</v>
      </c>
      <c r="X70" s="76">
        <f t="shared" si="3"/>
        <v>3</v>
      </c>
      <c r="Y70" s="76">
        <v>1</v>
      </c>
      <c r="Z70" s="79" t="str">
        <f>IF(OR(ISBLANK(L70),ISBLANK(l)),"",VLOOKUP(X70-0,'2_Risk_Criteria'!$D$4:$I$9,Y70+1,0))</f>
        <v>L3</v>
      </c>
      <c r="AA70" s="80" t="s">
        <v>198</v>
      </c>
    </row>
    <row r="71" spans="1:27" ht="91.2">
      <c r="A71" s="74">
        <v>68</v>
      </c>
      <c r="B71" s="70" t="s">
        <v>127</v>
      </c>
      <c r="C71" s="70" t="s">
        <v>128</v>
      </c>
      <c r="D71" s="76" t="s">
        <v>108</v>
      </c>
      <c r="E71" s="72" t="s">
        <v>199</v>
      </c>
      <c r="F71" s="72" t="s">
        <v>200</v>
      </c>
      <c r="G71" s="76">
        <v>3</v>
      </c>
      <c r="H71" s="76">
        <v>1</v>
      </c>
      <c r="I71" s="76">
        <v>2</v>
      </c>
      <c r="J71" s="76">
        <v>1</v>
      </c>
      <c r="K71" s="76">
        <v>1</v>
      </c>
      <c r="L71" s="76">
        <f t="shared" si="2"/>
        <v>3</v>
      </c>
      <c r="M71" s="76">
        <v>1</v>
      </c>
      <c r="N71" s="74" t="str">
        <f>IF(ISBLANK(L71),"",VLOOKUP(L71,'2_Risk_Criteria'!$D$4:$I$9,M71+1,0))</f>
        <v>L3</v>
      </c>
      <c r="O71" s="71" t="str">
        <f>VLOOKUP(N71,'2_Risk_Criteria'!$I$28:$J$42,2,0)</f>
        <v>Accept</v>
      </c>
      <c r="P71" s="75" t="s">
        <v>201</v>
      </c>
      <c r="Q71" s="70"/>
      <c r="R71" s="74"/>
      <c r="S71" s="76">
        <v>3</v>
      </c>
      <c r="T71" s="76">
        <v>1</v>
      </c>
      <c r="U71" s="76">
        <v>2</v>
      </c>
      <c r="V71" s="76">
        <v>1</v>
      </c>
      <c r="W71" s="76">
        <v>1</v>
      </c>
      <c r="X71" s="76">
        <f t="shared" si="3"/>
        <v>3</v>
      </c>
      <c r="Y71" s="76">
        <v>1</v>
      </c>
      <c r="Z71" s="79" t="str">
        <f>IF(OR(ISBLANK(L71),ISBLANK(l)),"",VLOOKUP(X71-0,'2_Risk_Criteria'!$D$4:$I$9,Y71+1,0))</f>
        <v>L3</v>
      </c>
      <c r="AA71" s="80" t="s">
        <v>198</v>
      </c>
    </row>
    <row r="72" spans="1:27" ht="91.2">
      <c r="A72" s="74">
        <v>69</v>
      </c>
      <c r="B72" s="70" t="s">
        <v>127</v>
      </c>
      <c r="C72" s="70" t="s">
        <v>128</v>
      </c>
      <c r="D72" s="76" t="s">
        <v>108</v>
      </c>
      <c r="E72" s="72" t="s">
        <v>202</v>
      </c>
      <c r="F72" s="70" t="s">
        <v>111</v>
      </c>
      <c r="G72" s="76">
        <v>3</v>
      </c>
      <c r="H72" s="76">
        <v>3</v>
      </c>
      <c r="I72" s="76">
        <v>3</v>
      </c>
      <c r="J72" s="76">
        <v>2</v>
      </c>
      <c r="K72" s="76">
        <v>2</v>
      </c>
      <c r="L72" s="76">
        <f t="shared" si="2"/>
        <v>3</v>
      </c>
      <c r="M72" s="76">
        <v>3</v>
      </c>
      <c r="N72" s="74" t="str">
        <f>IF(ISBLANK(L72),"",VLOOKUP(L72,'2_Risk_Criteria'!$D$4:$I$9,M72+1,0))</f>
        <v>M9</v>
      </c>
      <c r="O72" s="98" t="str">
        <f>VLOOKUP(N72,'2_Risk_Criteria'!$I$28:$J$42,2,0)</f>
        <v>Control</v>
      </c>
      <c r="P72" s="75" t="s">
        <v>203</v>
      </c>
      <c r="Q72" s="70"/>
      <c r="R72" s="76"/>
      <c r="S72" s="76">
        <v>1</v>
      </c>
      <c r="T72" s="76">
        <v>2</v>
      </c>
      <c r="U72" s="76">
        <v>2</v>
      </c>
      <c r="V72" s="76">
        <v>1</v>
      </c>
      <c r="W72" s="76">
        <v>1</v>
      </c>
      <c r="X72" s="76">
        <f t="shared" si="3"/>
        <v>2</v>
      </c>
      <c r="Y72" s="76">
        <v>2</v>
      </c>
      <c r="Z72" s="79" t="str">
        <f>IF(OR(ISBLANK(L72),ISBLANK(l)),"",VLOOKUP(X72-0,'2_Risk_Criteria'!$D$4:$I$9,Y72+1,0))</f>
        <v>L4</v>
      </c>
      <c r="AA72" s="80" t="s">
        <v>198</v>
      </c>
    </row>
    <row r="73" spans="1:27" ht="91.2">
      <c r="A73" s="112">
        <v>70</v>
      </c>
      <c r="B73" s="70" t="s">
        <v>127</v>
      </c>
      <c r="C73" s="70" t="s">
        <v>128</v>
      </c>
      <c r="D73" s="76" t="s">
        <v>108</v>
      </c>
      <c r="E73" s="72" t="s">
        <v>204</v>
      </c>
      <c r="F73" s="72" t="s">
        <v>205</v>
      </c>
      <c r="G73" s="76">
        <v>2</v>
      </c>
      <c r="H73" s="76">
        <v>3</v>
      </c>
      <c r="I73" s="76">
        <v>2</v>
      </c>
      <c r="J73" s="76">
        <v>1</v>
      </c>
      <c r="K73" s="76">
        <v>1</v>
      </c>
      <c r="L73" s="76">
        <f t="shared" si="2"/>
        <v>3</v>
      </c>
      <c r="M73" s="76">
        <v>3</v>
      </c>
      <c r="N73" s="74" t="str">
        <f>IF(ISBLANK(L73),"",VLOOKUP(L73,'2_Risk_Criteria'!$D$4:$I$9,M73+1,0))</f>
        <v>M9</v>
      </c>
      <c r="O73" s="98" t="str">
        <f>VLOOKUP(N73,'2_Risk_Criteria'!$I$28:$J$42,2,0)</f>
        <v>Control</v>
      </c>
      <c r="P73" s="75" t="s">
        <v>206</v>
      </c>
      <c r="Q73" s="70"/>
      <c r="R73" s="76"/>
      <c r="S73" s="76">
        <v>2</v>
      </c>
      <c r="T73" s="76">
        <v>2</v>
      </c>
      <c r="U73" s="76">
        <v>2</v>
      </c>
      <c r="V73" s="76">
        <v>1</v>
      </c>
      <c r="W73" s="76">
        <v>1</v>
      </c>
      <c r="X73" s="76">
        <f t="shared" si="3"/>
        <v>2</v>
      </c>
      <c r="Y73" s="76">
        <v>2</v>
      </c>
      <c r="Z73" s="79" t="str">
        <f>IF(OR(ISBLANK(L73),ISBLANK(l)),"",VLOOKUP(X73-0,'2_Risk_Criteria'!$D$4:$I$9,Y73+1,0))</f>
        <v>L4</v>
      </c>
      <c r="AA73" s="80" t="s">
        <v>198</v>
      </c>
    </row>
    <row r="74" spans="1:27">
      <c r="A74" s="113"/>
      <c r="B74" s="114"/>
      <c r="C74" s="114"/>
      <c r="D74" s="111"/>
      <c r="E74" s="115"/>
      <c r="F74" s="115"/>
      <c r="G74" s="111"/>
      <c r="H74" s="111"/>
      <c r="I74" s="111"/>
      <c r="J74" s="111"/>
      <c r="K74" s="111"/>
      <c r="L74" s="111"/>
      <c r="M74" s="111"/>
      <c r="N74" s="116"/>
      <c r="O74" s="117"/>
      <c r="P74" s="118"/>
      <c r="Q74" s="114"/>
      <c r="R74" s="116"/>
      <c r="S74" s="119"/>
      <c r="T74" s="119"/>
      <c r="U74" s="119"/>
      <c r="V74" s="119"/>
      <c r="W74" s="119"/>
      <c r="X74" s="119"/>
      <c r="Y74" s="119"/>
      <c r="Z74" s="120"/>
      <c r="AA74" s="121"/>
    </row>
  </sheetData>
  <mergeCells count="5">
    <mergeCell ref="G1:M1"/>
    <mergeCell ref="S1:Y1"/>
    <mergeCell ref="G2:K2"/>
    <mergeCell ref="S2:W2"/>
    <mergeCell ref="A1:A3"/>
  </mergeCells>
  <conditionalFormatting sqref="N4:N74 Z4:Z74">
    <cfRule type="expression" dxfId="7" priority="1">
      <formula>OR(N4="L1",N4="L2",N4="L3",N4="L4")</formula>
    </cfRule>
    <cfRule type="expression" dxfId="6" priority="2" stopIfTrue="1">
      <formula>OR(N4="M5",N4="M6",N4="M8",N4="M9",N4="M10")</formula>
    </cfRule>
    <cfRule type="expression" dxfId="5" priority="3">
      <formula>OR(N4="H12",N4="H15",N4="H16",N4="H20")</formula>
    </cfRule>
    <cfRule type="expression" dxfId="4" priority="4">
      <formula>OR(N4="C20",N4="C25")</formula>
    </cfRule>
  </conditionalFormatting>
  <conditionalFormatting sqref="O61:O69 O71:O74">
    <cfRule type="expression" dxfId="3" priority="5">
      <formula>OR(O61="H1",O61="H2",O61="H3",O61="H4",O61="H5")</formula>
    </cfRule>
    <cfRule type="expression" dxfId="2" priority="6">
      <formula>OR(O61="M1",O61="M2",O61="M3",O61="M4",O61="M5",O61="M6",O61="M7")</formula>
    </cfRule>
    <cfRule type="expression" dxfId="1" priority="7">
      <formula>OR(O61="VH2",O61="VH3",O61="VH4",O61="VH5",O61="VH6",O61="VH7")</formula>
    </cfRule>
    <cfRule type="expression" dxfId="0" priority="8">
      <formula>OR(O61="L1",O61="L2",O61="L3",O61="L4",O61="L5",O61="L6")</formula>
    </cfRule>
  </conditionalFormatting>
  <pageMargins left="0.7" right="0.7" top="0.75" bottom="0.75" header="0" footer="0"/>
  <pageSetup scale="2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  <pageSetUpPr fitToPage="1"/>
  </sheetPr>
  <dimension ref="A1:CQ5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A3"/>
    </sheetView>
  </sheetViews>
  <sheetFormatPr defaultColWidth="14.44140625" defaultRowHeight="15" customHeight="1"/>
  <cols>
    <col min="1" max="1" width="13.77734375" style="40" customWidth="1"/>
    <col min="2" max="2" width="12" style="40" hidden="1" customWidth="1"/>
    <col min="3" max="3" width="74.109375" style="40" customWidth="1"/>
    <col min="4" max="4" width="52.77734375" style="40" customWidth="1"/>
    <col min="5" max="5" width="14.109375" style="40" customWidth="1"/>
    <col min="6" max="6" width="45.77734375" style="40" customWidth="1"/>
    <col min="7" max="7" width="12.44140625" style="40" customWidth="1"/>
    <col min="8" max="8" width="103.33203125" style="40" customWidth="1"/>
    <col min="9" max="9" width="18.6640625" style="40" customWidth="1"/>
    <col min="10" max="10" width="25.44140625" style="40" customWidth="1"/>
    <col min="11" max="11" width="18.44140625" style="40" customWidth="1"/>
    <col min="12" max="12" width="19.6640625" style="40" customWidth="1"/>
    <col min="13" max="13" width="15.109375" style="40" customWidth="1"/>
    <col min="14" max="14" width="12.109375" style="40" customWidth="1"/>
    <col min="15" max="94" width="3.33203125" style="40" customWidth="1"/>
    <col min="95" max="95" width="42.44140625" style="40" customWidth="1"/>
    <col min="96" max="16384" width="14.44140625" style="40"/>
  </cols>
  <sheetData>
    <row r="1" spans="1:95" ht="31.5" customHeight="1">
      <c r="A1" s="393" t="s">
        <v>207</v>
      </c>
      <c r="B1" s="386"/>
      <c r="C1" s="396" t="s">
        <v>349</v>
      </c>
      <c r="D1" s="399" t="s">
        <v>428</v>
      </c>
      <c r="E1" s="386" t="s">
        <v>429</v>
      </c>
      <c r="F1" s="386" t="s">
        <v>430</v>
      </c>
      <c r="G1" s="400" t="s">
        <v>208</v>
      </c>
      <c r="H1" s="386" t="s">
        <v>431</v>
      </c>
      <c r="I1" s="386" t="s">
        <v>209</v>
      </c>
      <c r="J1" s="386" t="s">
        <v>432</v>
      </c>
      <c r="K1" s="392" t="s">
        <v>433</v>
      </c>
      <c r="L1" s="392" t="s">
        <v>434</v>
      </c>
      <c r="M1" s="392" t="s">
        <v>210</v>
      </c>
      <c r="N1" s="392" t="s">
        <v>211</v>
      </c>
      <c r="O1" s="380">
        <v>2024</v>
      </c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81"/>
      <c r="AO1" s="381"/>
      <c r="AP1" s="381"/>
      <c r="AQ1" s="381"/>
      <c r="AR1" s="381"/>
      <c r="AS1" s="381"/>
      <c r="AT1" s="382"/>
      <c r="AU1" s="383">
        <v>2025</v>
      </c>
      <c r="AV1" s="384"/>
      <c r="AW1" s="384"/>
      <c r="AX1" s="384"/>
      <c r="AY1" s="384"/>
      <c r="AZ1" s="384"/>
      <c r="BA1" s="384"/>
      <c r="BB1" s="384"/>
      <c r="BC1" s="384"/>
      <c r="BD1" s="384"/>
      <c r="BE1" s="384"/>
      <c r="BF1" s="384"/>
      <c r="BG1" s="384"/>
      <c r="BH1" s="384"/>
      <c r="BI1" s="384"/>
      <c r="BJ1" s="384"/>
      <c r="BK1" s="384"/>
      <c r="BL1" s="384"/>
      <c r="BM1" s="384"/>
      <c r="BN1" s="384"/>
      <c r="BO1" s="384"/>
      <c r="BP1" s="384"/>
      <c r="BQ1" s="384"/>
      <c r="BR1" s="384"/>
      <c r="BS1" s="384"/>
      <c r="BT1" s="384"/>
      <c r="BU1" s="384"/>
      <c r="BV1" s="384"/>
      <c r="BW1" s="384"/>
      <c r="BX1" s="384"/>
      <c r="BY1" s="384"/>
      <c r="BZ1" s="384"/>
      <c r="CA1" s="384"/>
      <c r="CB1" s="384"/>
      <c r="CC1" s="384"/>
      <c r="CD1" s="384"/>
      <c r="CE1" s="384"/>
      <c r="CF1" s="384"/>
      <c r="CG1" s="384"/>
      <c r="CH1" s="384"/>
      <c r="CI1" s="384"/>
      <c r="CJ1" s="384"/>
      <c r="CK1" s="384"/>
      <c r="CL1" s="384"/>
      <c r="CM1" s="384"/>
      <c r="CN1" s="384"/>
      <c r="CO1" s="384"/>
      <c r="CP1" s="385"/>
      <c r="CQ1" s="386" t="s">
        <v>212</v>
      </c>
    </row>
    <row r="2" spans="1:95" ht="31.5" customHeight="1">
      <c r="A2" s="394"/>
      <c r="B2" s="387"/>
      <c r="C2" s="397"/>
      <c r="D2" s="39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9" t="s">
        <v>213</v>
      </c>
      <c r="P2" s="390"/>
      <c r="Q2" s="390"/>
      <c r="R2" s="391"/>
      <c r="S2" s="389" t="s">
        <v>214</v>
      </c>
      <c r="T2" s="390"/>
      <c r="U2" s="390"/>
      <c r="V2" s="391"/>
      <c r="W2" s="389" t="s">
        <v>215</v>
      </c>
      <c r="X2" s="390"/>
      <c r="Y2" s="390"/>
      <c r="Z2" s="391"/>
      <c r="AA2" s="389" t="s">
        <v>216</v>
      </c>
      <c r="AB2" s="390"/>
      <c r="AC2" s="390"/>
      <c r="AD2" s="391"/>
      <c r="AE2" s="389" t="s">
        <v>217</v>
      </c>
      <c r="AF2" s="390"/>
      <c r="AG2" s="390"/>
      <c r="AH2" s="391"/>
      <c r="AI2" s="389" t="s">
        <v>218</v>
      </c>
      <c r="AJ2" s="390"/>
      <c r="AK2" s="390"/>
      <c r="AL2" s="391"/>
      <c r="AM2" s="389" t="s">
        <v>219</v>
      </c>
      <c r="AN2" s="390"/>
      <c r="AO2" s="390"/>
      <c r="AP2" s="391"/>
      <c r="AQ2" s="389" t="s">
        <v>220</v>
      </c>
      <c r="AR2" s="390"/>
      <c r="AS2" s="390"/>
      <c r="AT2" s="391"/>
      <c r="AU2" s="377" t="s">
        <v>221</v>
      </c>
      <c r="AV2" s="378"/>
      <c r="AW2" s="378"/>
      <c r="AX2" s="379"/>
      <c r="AY2" s="377" t="s">
        <v>222</v>
      </c>
      <c r="AZ2" s="378"/>
      <c r="BA2" s="378"/>
      <c r="BB2" s="379"/>
      <c r="BC2" s="377" t="s">
        <v>223</v>
      </c>
      <c r="BD2" s="378"/>
      <c r="BE2" s="378"/>
      <c r="BF2" s="379"/>
      <c r="BG2" s="377" t="s">
        <v>224</v>
      </c>
      <c r="BH2" s="378"/>
      <c r="BI2" s="378"/>
      <c r="BJ2" s="379"/>
      <c r="BK2" s="377" t="s">
        <v>213</v>
      </c>
      <c r="BL2" s="378"/>
      <c r="BM2" s="378"/>
      <c r="BN2" s="379"/>
      <c r="BO2" s="377" t="s">
        <v>214</v>
      </c>
      <c r="BP2" s="378"/>
      <c r="BQ2" s="378"/>
      <c r="BR2" s="379"/>
      <c r="BS2" s="377" t="s">
        <v>215</v>
      </c>
      <c r="BT2" s="378"/>
      <c r="BU2" s="378"/>
      <c r="BV2" s="379"/>
      <c r="BW2" s="377" t="s">
        <v>216</v>
      </c>
      <c r="BX2" s="378"/>
      <c r="BY2" s="378"/>
      <c r="BZ2" s="379"/>
      <c r="CA2" s="377" t="s">
        <v>217</v>
      </c>
      <c r="CB2" s="378"/>
      <c r="CC2" s="378"/>
      <c r="CD2" s="379"/>
      <c r="CE2" s="377" t="s">
        <v>218</v>
      </c>
      <c r="CF2" s="378"/>
      <c r="CG2" s="378"/>
      <c r="CH2" s="379"/>
      <c r="CI2" s="377" t="s">
        <v>219</v>
      </c>
      <c r="CJ2" s="378"/>
      <c r="CK2" s="378"/>
      <c r="CL2" s="379"/>
      <c r="CM2" s="377" t="s">
        <v>220</v>
      </c>
      <c r="CN2" s="378"/>
      <c r="CO2" s="378"/>
      <c r="CP2" s="379"/>
      <c r="CQ2" s="387"/>
    </row>
    <row r="3" spans="1:95" ht="31.5" customHeight="1">
      <c r="A3" s="395"/>
      <c r="B3" s="388"/>
      <c r="C3" s="398"/>
      <c r="D3" s="39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211">
        <v>1</v>
      </c>
      <c r="P3" s="211">
        <v>2</v>
      </c>
      <c r="Q3" s="211">
        <v>3</v>
      </c>
      <c r="R3" s="211">
        <v>4</v>
      </c>
      <c r="S3" s="211">
        <v>1</v>
      </c>
      <c r="T3" s="211">
        <v>2</v>
      </c>
      <c r="U3" s="211">
        <v>3</v>
      </c>
      <c r="V3" s="211">
        <v>4</v>
      </c>
      <c r="W3" s="211">
        <v>1</v>
      </c>
      <c r="X3" s="211">
        <v>2</v>
      </c>
      <c r="Y3" s="211">
        <v>3</v>
      </c>
      <c r="Z3" s="211">
        <v>4</v>
      </c>
      <c r="AA3" s="211">
        <v>1</v>
      </c>
      <c r="AB3" s="211">
        <v>2</v>
      </c>
      <c r="AC3" s="211">
        <v>3</v>
      </c>
      <c r="AD3" s="211">
        <v>4</v>
      </c>
      <c r="AE3" s="211">
        <v>1</v>
      </c>
      <c r="AF3" s="211">
        <v>2</v>
      </c>
      <c r="AG3" s="211">
        <v>3</v>
      </c>
      <c r="AH3" s="211">
        <v>4</v>
      </c>
      <c r="AI3" s="211">
        <v>1</v>
      </c>
      <c r="AJ3" s="211">
        <v>2</v>
      </c>
      <c r="AK3" s="211">
        <v>3</v>
      </c>
      <c r="AL3" s="211">
        <v>4</v>
      </c>
      <c r="AM3" s="211">
        <v>1</v>
      </c>
      <c r="AN3" s="211">
        <v>2</v>
      </c>
      <c r="AO3" s="211">
        <v>3</v>
      </c>
      <c r="AP3" s="211">
        <v>4</v>
      </c>
      <c r="AQ3" s="211">
        <v>1</v>
      </c>
      <c r="AR3" s="211">
        <v>2</v>
      </c>
      <c r="AS3" s="211">
        <v>3</v>
      </c>
      <c r="AT3" s="211">
        <v>4</v>
      </c>
      <c r="AU3" s="210">
        <v>1</v>
      </c>
      <c r="AV3" s="210">
        <v>2</v>
      </c>
      <c r="AW3" s="210">
        <v>3</v>
      </c>
      <c r="AX3" s="210">
        <v>4</v>
      </c>
      <c r="AY3" s="210">
        <v>1</v>
      </c>
      <c r="AZ3" s="210">
        <v>2</v>
      </c>
      <c r="BA3" s="210">
        <v>3</v>
      </c>
      <c r="BB3" s="210">
        <v>4</v>
      </c>
      <c r="BC3" s="210">
        <v>1</v>
      </c>
      <c r="BD3" s="210">
        <v>2</v>
      </c>
      <c r="BE3" s="210">
        <v>3</v>
      </c>
      <c r="BF3" s="210">
        <v>4</v>
      </c>
      <c r="BG3" s="210">
        <v>1</v>
      </c>
      <c r="BH3" s="210">
        <v>2</v>
      </c>
      <c r="BI3" s="210">
        <v>3</v>
      </c>
      <c r="BJ3" s="210">
        <v>4</v>
      </c>
      <c r="BK3" s="210">
        <v>1</v>
      </c>
      <c r="BL3" s="210">
        <v>2</v>
      </c>
      <c r="BM3" s="210">
        <v>3</v>
      </c>
      <c r="BN3" s="210">
        <v>4</v>
      </c>
      <c r="BO3" s="210">
        <v>1</v>
      </c>
      <c r="BP3" s="210">
        <v>2</v>
      </c>
      <c r="BQ3" s="210">
        <v>3</v>
      </c>
      <c r="BR3" s="210">
        <v>4</v>
      </c>
      <c r="BS3" s="210">
        <v>1</v>
      </c>
      <c r="BT3" s="210">
        <v>2</v>
      </c>
      <c r="BU3" s="210">
        <v>3</v>
      </c>
      <c r="BV3" s="210">
        <v>4</v>
      </c>
      <c r="BW3" s="210">
        <v>1</v>
      </c>
      <c r="BX3" s="210">
        <v>2</v>
      </c>
      <c r="BY3" s="210">
        <v>3</v>
      </c>
      <c r="BZ3" s="210">
        <v>4</v>
      </c>
      <c r="CA3" s="210">
        <v>1</v>
      </c>
      <c r="CB3" s="210">
        <v>2</v>
      </c>
      <c r="CC3" s="210">
        <v>3</v>
      </c>
      <c r="CD3" s="210">
        <v>4</v>
      </c>
      <c r="CE3" s="210">
        <v>1</v>
      </c>
      <c r="CF3" s="210">
        <v>2</v>
      </c>
      <c r="CG3" s="210">
        <v>3</v>
      </c>
      <c r="CH3" s="210">
        <v>4</v>
      </c>
      <c r="CI3" s="210">
        <v>1</v>
      </c>
      <c r="CJ3" s="210">
        <v>2</v>
      </c>
      <c r="CK3" s="210">
        <v>3</v>
      </c>
      <c r="CL3" s="210">
        <v>4</v>
      </c>
      <c r="CM3" s="210">
        <v>1</v>
      </c>
      <c r="CN3" s="210">
        <v>2</v>
      </c>
      <c r="CO3" s="210">
        <v>3</v>
      </c>
      <c r="CP3" s="210">
        <v>4</v>
      </c>
      <c r="CQ3" s="388"/>
    </row>
    <row r="4" spans="1:95" ht="45" customHeight="1">
      <c r="A4" s="413" t="s">
        <v>120</v>
      </c>
      <c r="B4" s="414"/>
      <c r="C4" s="415" t="s">
        <v>499</v>
      </c>
      <c r="D4" s="416" t="s">
        <v>225</v>
      </c>
      <c r="E4" s="417" t="s">
        <v>226</v>
      </c>
      <c r="F4" s="416" t="s">
        <v>227</v>
      </c>
      <c r="G4" s="130">
        <v>1</v>
      </c>
      <c r="H4" s="131" t="s">
        <v>337</v>
      </c>
      <c r="I4" s="132" t="s">
        <v>228</v>
      </c>
      <c r="J4" s="54"/>
      <c r="K4" s="418"/>
      <c r="L4" s="418"/>
      <c r="M4" s="401"/>
      <c r="N4" s="440"/>
      <c r="O4" s="133"/>
      <c r="P4" s="133"/>
      <c r="Q4" s="133"/>
      <c r="R4" s="133"/>
      <c r="S4" s="133"/>
      <c r="T4" s="133"/>
      <c r="U4" s="133"/>
      <c r="V4" s="133"/>
      <c r="W4" s="134"/>
      <c r="X4" s="134"/>
      <c r="Y4" s="134"/>
      <c r="Z4" s="134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5"/>
    </row>
    <row r="5" spans="1:95" ht="45" customHeight="1">
      <c r="A5" s="387"/>
      <c r="B5" s="387"/>
      <c r="C5" s="387"/>
      <c r="D5" s="387"/>
      <c r="E5" s="387"/>
      <c r="F5" s="387"/>
      <c r="G5" s="136">
        <v>2</v>
      </c>
      <c r="H5" s="137" t="s">
        <v>528</v>
      </c>
      <c r="I5" s="138" t="s">
        <v>228</v>
      </c>
      <c r="J5" s="54"/>
      <c r="K5" s="410"/>
      <c r="L5" s="410"/>
      <c r="M5" s="387"/>
      <c r="N5" s="441"/>
      <c r="O5" s="139"/>
      <c r="P5" s="139"/>
      <c r="Q5" s="139"/>
      <c r="R5" s="139"/>
      <c r="S5" s="139"/>
      <c r="T5" s="139"/>
      <c r="U5" s="139"/>
      <c r="V5" s="139"/>
      <c r="W5" s="140"/>
      <c r="X5" s="140"/>
      <c r="Y5" s="140"/>
      <c r="Z5" s="140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41"/>
    </row>
    <row r="6" spans="1:95" ht="45" customHeight="1">
      <c r="A6" s="387"/>
      <c r="B6" s="387"/>
      <c r="C6" s="387"/>
      <c r="D6" s="387"/>
      <c r="E6" s="387"/>
      <c r="F6" s="387"/>
      <c r="G6" s="136">
        <v>3</v>
      </c>
      <c r="H6" s="137" t="s">
        <v>529</v>
      </c>
      <c r="I6" s="138" t="s">
        <v>228</v>
      </c>
      <c r="J6" s="54"/>
      <c r="K6" s="410"/>
      <c r="L6" s="410"/>
      <c r="M6" s="387"/>
      <c r="N6" s="441"/>
      <c r="O6" s="139"/>
      <c r="P6" s="139"/>
      <c r="Q6" s="139"/>
      <c r="R6" s="139"/>
      <c r="S6" s="139"/>
      <c r="T6" s="139"/>
      <c r="U6" s="139"/>
      <c r="V6" s="139"/>
      <c r="W6" s="140"/>
      <c r="X6" s="140"/>
      <c r="Y6" s="140"/>
      <c r="Z6" s="140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42"/>
    </row>
    <row r="7" spans="1:95" ht="45" customHeight="1">
      <c r="A7" s="388"/>
      <c r="B7" s="388"/>
      <c r="C7" s="388"/>
      <c r="D7" s="388"/>
      <c r="E7" s="388"/>
      <c r="F7" s="388"/>
      <c r="G7" s="143">
        <v>4</v>
      </c>
      <c r="H7" s="144" t="s">
        <v>229</v>
      </c>
      <c r="I7" s="145" t="s">
        <v>228</v>
      </c>
      <c r="J7" s="146"/>
      <c r="K7" s="411"/>
      <c r="L7" s="411"/>
      <c r="M7" s="388"/>
      <c r="N7" s="442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0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8"/>
    </row>
    <row r="8" spans="1:95" ht="35.25" customHeight="1">
      <c r="A8" s="423" t="s">
        <v>137</v>
      </c>
      <c r="B8" s="432"/>
      <c r="C8" s="434" t="s">
        <v>435</v>
      </c>
      <c r="D8" s="430" t="s">
        <v>230</v>
      </c>
      <c r="E8" s="437" t="s">
        <v>231</v>
      </c>
      <c r="F8" s="430" t="s">
        <v>232</v>
      </c>
      <c r="G8" s="150">
        <v>1</v>
      </c>
      <c r="H8" s="151" t="s">
        <v>233</v>
      </c>
      <c r="I8" s="152" t="s">
        <v>228</v>
      </c>
      <c r="J8" s="130"/>
      <c r="K8" s="443"/>
      <c r="L8" s="443"/>
      <c r="M8" s="401"/>
      <c r="N8" s="402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35"/>
    </row>
    <row r="9" spans="1:95" ht="35.25" customHeight="1">
      <c r="A9" s="424"/>
      <c r="B9" s="410"/>
      <c r="C9" s="435"/>
      <c r="D9" s="387"/>
      <c r="E9" s="387"/>
      <c r="F9" s="387"/>
      <c r="G9" s="155">
        <v>2</v>
      </c>
      <c r="H9" s="156" t="s">
        <v>235</v>
      </c>
      <c r="I9" s="157" t="s">
        <v>228</v>
      </c>
      <c r="J9" s="136"/>
      <c r="K9" s="410"/>
      <c r="L9" s="410"/>
      <c r="M9" s="387"/>
      <c r="N9" s="40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8"/>
      <c r="AB9" s="158"/>
      <c r="AC9" s="158"/>
      <c r="AD9" s="158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49"/>
    </row>
    <row r="10" spans="1:95" ht="35.25" customHeight="1">
      <c r="A10" s="424"/>
      <c r="B10" s="410"/>
      <c r="C10" s="435"/>
      <c r="D10" s="387"/>
      <c r="E10" s="387"/>
      <c r="F10" s="387"/>
      <c r="G10" s="155">
        <v>3</v>
      </c>
      <c r="H10" s="156" t="s">
        <v>236</v>
      </c>
      <c r="I10" s="157" t="s">
        <v>234</v>
      </c>
      <c r="J10" s="136"/>
      <c r="K10" s="410"/>
      <c r="L10" s="410"/>
      <c r="M10" s="387"/>
      <c r="N10" s="40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8"/>
      <c r="AB10" s="158"/>
      <c r="AC10" s="158"/>
      <c r="AD10" s="158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49"/>
    </row>
    <row r="11" spans="1:95" ht="35.25" customHeight="1">
      <c r="A11" s="424"/>
      <c r="B11" s="410"/>
      <c r="C11" s="435"/>
      <c r="D11" s="387"/>
      <c r="E11" s="387"/>
      <c r="F11" s="387"/>
      <c r="G11" s="155">
        <v>4</v>
      </c>
      <c r="H11" s="156" t="s">
        <v>526</v>
      </c>
      <c r="I11" s="157" t="s">
        <v>228</v>
      </c>
      <c r="J11" s="136"/>
      <c r="K11" s="410"/>
      <c r="L11" s="410"/>
      <c r="M11" s="387"/>
      <c r="N11" s="40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8"/>
      <c r="AB11" s="158"/>
      <c r="AC11" s="158"/>
      <c r="AD11" s="158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49"/>
    </row>
    <row r="12" spans="1:95" ht="35.25" customHeight="1">
      <c r="A12" s="424"/>
      <c r="B12" s="410"/>
      <c r="C12" s="435"/>
      <c r="D12" s="387"/>
      <c r="E12" s="387"/>
      <c r="F12" s="387"/>
      <c r="G12" s="155">
        <v>5</v>
      </c>
      <c r="H12" s="156" t="s">
        <v>527</v>
      </c>
      <c r="I12" s="157" t="s">
        <v>228</v>
      </c>
      <c r="J12" s="136"/>
      <c r="K12" s="410"/>
      <c r="L12" s="410"/>
      <c r="M12" s="387"/>
      <c r="N12" s="40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8"/>
      <c r="AB12" s="158"/>
      <c r="AC12" s="158"/>
      <c r="AD12" s="158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49"/>
    </row>
    <row r="13" spans="1:95" ht="47.1" customHeight="1">
      <c r="A13" s="425"/>
      <c r="B13" s="433"/>
      <c r="C13" s="436"/>
      <c r="D13" s="406"/>
      <c r="E13" s="406"/>
      <c r="F13" s="406"/>
      <c r="G13" s="159">
        <v>6</v>
      </c>
      <c r="H13" s="160" t="s">
        <v>237</v>
      </c>
      <c r="I13" s="161" t="s">
        <v>228</v>
      </c>
      <c r="J13" s="143"/>
      <c r="K13" s="433"/>
      <c r="L13" s="411"/>
      <c r="M13" s="387"/>
      <c r="N13" s="404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62"/>
      <c r="AB13" s="162"/>
      <c r="AC13" s="162"/>
      <c r="AD13" s="162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8"/>
    </row>
    <row r="14" spans="1:95" ht="81.599999999999994">
      <c r="A14" s="423" t="s">
        <v>140</v>
      </c>
      <c r="B14" s="438"/>
      <c r="C14" s="439" t="s">
        <v>238</v>
      </c>
      <c r="D14" s="419" t="s">
        <v>239</v>
      </c>
      <c r="E14" s="429" t="s">
        <v>240</v>
      </c>
      <c r="F14" s="419" t="s">
        <v>241</v>
      </c>
      <c r="G14" s="163">
        <v>1</v>
      </c>
      <c r="H14" s="164" t="s">
        <v>530</v>
      </c>
      <c r="I14" s="165" t="s">
        <v>228</v>
      </c>
      <c r="J14" s="54"/>
      <c r="K14" s="444"/>
      <c r="L14" s="445"/>
      <c r="M14" s="421"/>
      <c r="N14" s="446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67"/>
    </row>
    <row r="15" spans="1:95" ht="31.5" customHeight="1">
      <c r="A15" s="425"/>
      <c r="B15" s="411"/>
      <c r="C15" s="411"/>
      <c r="D15" s="411"/>
      <c r="E15" s="411"/>
      <c r="F15" s="411"/>
      <c r="G15" s="168">
        <v>2</v>
      </c>
      <c r="H15" s="169" t="s">
        <v>242</v>
      </c>
      <c r="I15" s="170" t="s">
        <v>228</v>
      </c>
      <c r="J15" s="146"/>
      <c r="K15" s="411"/>
      <c r="L15" s="411"/>
      <c r="M15" s="388"/>
      <c r="N15" s="447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71"/>
    </row>
    <row r="16" spans="1:95" ht="31.5" customHeight="1">
      <c r="A16" s="423" t="s">
        <v>149</v>
      </c>
      <c r="B16" s="455"/>
      <c r="C16" s="456" t="s">
        <v>243</v>
      </c>
      <c r="D16" s="430" t="s">
        <v>244</v>
      </c>
      <c r="E16" s="431" t="s">
        <v>245</v>
      </c>
      <c r="F16" s="430" t="s">
        <v>246</v>
      </c>
      <c r="G16" s="172">
        <v>1</v>
      </c>
      <c r="H16" s="173" t="s">
        <v>247</v>
      </c>
      <c r="I16" s="174" t="s">
        <v>228</v>
      </c>
      <c r="J16" s="166"/>
      <c r="K16" s="405"/>
      <c r="L16" s="405"/>
      <c r="M16" s="421"/>
      <c r="N16" s="446"/>
      <c r="O16" s="153"/>
      <c r="P16" s="153"/>
      <c r="Q16" s="153"/>
      <c r="R16" s="153"/>
      <c r="S16" s="158"/>
      <c r="T16" s="158"/>
      <c r="U16" s="158"/>
      <c r="V16" s="158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75"/>
    </row>
    <row r="17" spans="1:95" ht="46.05" customHeight="1">
      <c r="A17" s="425"/>
      <c r="B17" s="411"/>
      <c r="C17" s="388"/>
      <c r="D17" s="388"/>
      <c r="E17" s="388"/>
      <c r="F17" s="388"/>
      <c r="G17" s="176">
        <v>2</v>
      </c>
      <c r="H17" s="177" t="s">
        <v>248</v>
      </c>
      <c r="I17" s="178" t="s">
        <v>228</v>
      </c>
      <c r="J17" s="55"/>
      <c r="K17" s="406"/>
      <c r="L17" s="406"/>
      <c r="M17" s="388"/>
      <c r="N17" s="448"/>
      <c r="O17" s="147"/>
      <c r="P17" s="147"/>
      <c r="Q17" s="147"/>
      <c r="R17" s="147"/>
      <c r="S17" s="162"/>
      <c r="T17" s="162"/>
      <c r="U17" s="162"/>
      <c r="V17" s="162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79"/>
    </row>
    <row r="18" spans="1:95" ht="31.5" customHeight="1">
      <c r="A18" s="423" t="s">
        <v>155</v>
      </c>
      <c r="B18" s="455"/>
      <c r="C18" s="456" t="s">
        <v>249</v>
      </c>
      <c r="D18" s="430" t="s">
        <v>250</v>
      </c>
      <c r="E18" s="431" t="s">
        <v>251</v>
      </c>
      <c r="F18" s="430" t="s">
        <v>252</v>
      </c>
      <c r="G18" s="172">
        <v>1</v>
      </c>
      <c r="H18" s="180" t="s">
        <v>253</v>
      </c>
      <c r="I18" s="174" t="s">
        <v>234</v>
      </c>
      <c r="J18" s="181"/>
      <c r="K18" s="405"/>
      <c r="L18" s="405"/>
      <c r="M18" s="401"/>
      <c r="N18" s="407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8"/>
      <c r="AR18" s="158"/>
      <c r="AS18" s="158"/>
      <c r="AT18" s="158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75"/>
    </row>
    <row r="19" spans="1:95" ht="31.5" customHeight="1">
      <c r="A19" s="425"/>
      <c r="B19" s="433"/>
      <c r="C19" s="406"/>
      <c r="D19" s="406"/>
      <c r="E19" s="406"/>
      <c r="F19" s="406"/>
      <c r="G19" s="176">
        <v>2</v>
      </c>
      <c r="H19" s="182" t="s">
        <v>254</v>
      </c>
      <c r="I19" s="178" t="s">
        <v>228</v>
      </c>
      <c r="J19" s="183"/>
      <c r="K19" s="388"/>
      <c r="L19" s="388"/>
      <c r="M19" s="388"/>
      <c r="N19" s="408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62"/>
      <c r="AB19" s="162"/>
      <c r="AC19" s="162"/>
      <c r="AD19" s="162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79"/>
    </row>
    <row r="20" spans="1:95" ht="34.5" customHeight="1">
      <c r="A20" s="423" t="s">
        <v>161</v>
      </c>
      <c r="B20" s="449"/>
      <c r="C20" s="452" t="s">
        <v>436</v>
      </c>
      <c r="D20" s="453" t="s">
        <v>255</v>
      </c>
      <c r="E20" s="454" t="s">
        <v>256</v>
      </c>
      <c r="F20" s="453" t="s">
        <v>257</v>
      </c>
      <c r="G20" s="184">
        <v>1</v>
      </c>
      <c r="H20" s="185" t="s">
        <v>258</v>
      </c>
      <c r="I20" s="186" t="s">
        <v>228</v>
      </c>
      <c r="J20" s="184"/>
      <c r="K20" s="409"/>
      <c r="L20" s="412"/>
      <c r="M20" s="401"/>
      <c r="N20" s="402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62"/>
      <c r="AB20" s="162"/>
      <c r="AC20" s="162"/>
      <c r="AD20" s="162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87"/>
    </row>
    <row r="21" spans="1:95" ht="40.5" customHeight="1">
      <c r="A21" s="424"/>
      <c r="B21" s="450"/>
      <c r="C21" s="387"/>
      <c r="D21" s="387"/>
      <c r="E21" s="387"/>
      <c r="F21" s="387"/>
      <c r="G21" s="136">
        <v>2</v>
      </c>
      <c r="H21" s="156" t="s">
        <v>437</v>
      </c>
      <c r="I21" s="188" t="s">
        <v>234</v>
      </c>
      <c r="J21" s="136"/>
      <c r="K21" s="410"/>
      <c r="L21" s="387"/>
      <c r="M21" s="387"/>
      <c r="N21" s="403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62"/>
      <c r="AB21" s="162"/>
      <c r="AC21" s="162"/>
      <c r="AD21" s="162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62"/>
      <c r="AR21" s="162"/>
      <c r="AS21" s="162"/>
      <c r="AT21" s="162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89"/>
    </row>
    <row r="22" spans="1:95" ht="39" customHeight="1">
      <c r="A22" s="424"/>
      <c r="B22" s="450"/>
      <c r="C22" s="387"/>
      <c r="D22" s="387"/>
      <c r="E22" s="387"/>
      <c r="F22" s="387"/>
      <c r="G22" s="184">
        <v>3</v>
      </c>
      <c r="H22" s="190" t="s">
        <v>236</v>
      </c>
      <c r="I22" s="191" t="s">
        <v>228</v>
      </c>
      <c r="J22" s="136"/>
      <c r="K22" s="410"/>
      <c r="L22" s="387"/>
      <c r="M22" s="387"/>
      <c r="N22" s="403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62"/>
      <c r="AB22" s="162"/>
      <c r="AC22" s="162"/>
      <c r="AD22" s="162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7"/>
      <c r="CD22" s="147"/>
      <c r="CE22" s="147"/>
      <c r="CF22" s="147"/>
      <c r="CG22" s="147"/>
      <c r="CH22" s="147"/>
      <c r="CI22" s="147"/>
      <c r="CJ22" s="147"/>
      <c r="CK22" s="147"/>
      <c r="CL22" s="147"/>
      <c r="CM22" s="147"/>
      <c r="CN22" s="147"/>
      <c r="CO22" s="147"/>
      <c r="CP22" s="147"/>
      <c r="CQ22" s="192"/>
    </row>
    <row r="23" spans="1:95" ht="47.25" customHeight="1">
      <c r="A23" s="425"/>
      <c r="B23" s="451"/>
      <c r="C23" s="388"/>
      <c r="D23" s="388"/>
      <c r="E23" s="388"/>
      <c r="F23" s="388"/>
      <c r="G23" s="143">
        <v>4</v>
      </c>
      <c r="H23" s="193" t="s">
        <v>259</v>
      </c>
      <c r="I23" s="145" t="s">
        <v>228</v>
      </c>
      <c r="J23" s="143"/>
      <c r="K23" s="411"/>
      <c r="L23" s="388"/>
      <c r="M23" s="387"/>
      <c r="N23" s="404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62"/>
      <c r="AB23" s="162"/>
      <c r="AC23" s="162"/>
      <c r="AD23" s="162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7"/>
      <c r="CD23" s="147"/>
      <c r="CE23" s="147"/>
      <c r="CF23" s="147"/>
      <c r="CG23" s="147"/>
      <c r="CH23" s="147"/>
      <c r="CI23" s="147"/>
      <c r="CJ23" s="147"/>
      <c r="CK23" s="147"/>
      <c r="CL23" s="147"/>
      <c r="CM23" s="147"/>
      <c r="CN23" s="147"/>
      <c r="CO23" s="147"/>
      <c r="CP23" s="147"/>
      <c r="CQ23" s="194"/>
    </row>
    <row r="24" spans="1:95" ht="40.5" customHeight="1">
      <c r="A24" s="423" t="s">
        <v>163</v>
      </c>
      <c r="B24" s="426"/>
      <c r="C24" s="427" t="s">
        <v>260</v>
      </c>
      <c r="D24" s="427" t="s">
        <v>261</v>
      </c>
      <c r="E24" s="428" t="s">
        <v>262</v>
      </c>
      <c r="F24" s="427" t="s">
        <v>263</v>
      </c>
      <c r="G24" s="195">
        <v>1</v>
      </c>
      <c r="H24" s="196" t="s">
        <v>338</v>
      </c>
      <c r="I24" s="197" t="s">
        <v>228</v>
      </c>
      <c r="J24" s="54"/>
      <c r="K24" s="420"/>
      <c r="L24" s="420"/>
      <c r="M24" s="421"/>
      <c r="N24" s="422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62"/>
      <c r="AB24" s="162"/>
      <c r="AC24" s="162"/>
      <c r="AD24" s="162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7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98"/>
    </row>
    <row r="25" spans="1:95" ht="40.5" customHeight="1">
      <c r="A25" s="424"/>
      <c r="B25" s="387"/>
      <c r="C25" s="387"/>
      <c r="D25" s="387"/>
      <c r="E25" s="387"/>
      <c r="F25" s="387"/>
      <c r="G25" s="172">
        <v>2</v>
      </c>
      <c r="H25" s="196" t="s">
        <v>338</v>
      </c>
      <c r="I25" s="174" t="s">
        <v>228</v>
      </c>
      <c r="J25" s="54"/>
      <c r="K25" s="387"/>
      <c r="L25" s="387"/>
      <c r="M25" s="387"/>
      <c r="N25" s="403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62"/>
      <c r="AB25" s="162"/>
      <c r="AC25" s="162"/>
      <c r="AD25" s="162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7"/>
      <c r="CC25" s="147"/>
      <c r="CD25" s="147"/>
      <c r="CE25" s="147"/>
      <c r="CF25" s="147"/>
      <c r="CG25" s="147"/>
      <c r="CH25" s="147"/>
      <c r="CI25" s="147"/>
      <c r="CJ25" s="147"/>
      <c r="CK25" s="147"/>
      <c r="CL25" s="147"/>
      <c r="CM25" s="147"/>
      <c r="CN25" s="147"/>
      <c r="CO25" s="147"/>
      <c r="CP25" s="147"/>
      <c r="CQ25" s="175"/>
    </row>
    <row r="26" spans="1:95" ht="54" customHeight="1">
      <c r="A26" s="424"/>
      <c r="B26" s="387"/>
      <c r="C26" s="387"/>
      <c r="D26" s="387"/>
      <c r="E26" s="387"/>
      <c r="F26" s="387"/>
      <c r="G26" s="195">
        <v>3</v>
      </c>
      <c r="H26" s="199" t="s">
        <v>339</v>
      </c>
      <c r="I26" s="174" t="s">
        <v>228</v>
      </c>
      <c r="J26" s="54"/>
      <c r="K26" s="387"/>
      <c r="L26" s="387"/>
      <c r="M26" s="387"/>
      <c r="N26" s="403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62"/>
      <c r="AB26" s="162"/>
      <c r="AC26" s="162"/>
      <c r="AD26" s="162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  <c r="CF26" s="147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75"/>
    </row>
    <row r="27" spans="1:95" ht="54" customHeight="1">
      <c r="A27" s="424"/>
      <c r="B27" s="387"/>
      <c r="C27" s="387"/>
      <c r="D27" s="387"/>
      <c r="E27" s="387"/>
      <c r="F27" s="387"/>
      <c r="G27" s="172">
        <v>4</v>
      </c>
      <c r="H27" s="199" t="s">
        <v>339</v>
      </c>
      <c r="I27" s="174" t="s">
        <v>228</v>
      </c>
      <c r="J27" s="54"/>
      <c r="K27" s="387"/>
      <c r="L27" s="387"/>
      <c r="M27" s="387"/>
      <c r="N27" s="403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62"/>
      <c r="AB27" s="162"/>
      <c r="AC27" s="162"/>
      <c r="AD27" s="162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7"/>
      <c r="CC27" s="147"/>
      <c r="CD27" s="147"/>
      <c r="CE27" s="147"/>
      <c r="CF27" s="147"/>
      <c r="CG27" s="147"/>
      <c r="CH27" s="147"/>
      <c r="CI27" s="147"/>
      <c r="CJ27" s="147"/>
      <c r="CK27" s="147"/>
      <c r="CL27" s="147"/>
      <c r="CM27" s="147"/>
      <c r="CN27" s="147"/>
      <c r="CO27" s="147"/>
      <c r="CP27" s="147"/>
      <c r="CQ27" s="175"/>
    </row>
    <row r="28" spans="1:95" ht="40.5" customHeight="1">
      <c r="A28" s="425"/>
      <c r="B28" s="388"/>
      <c r="C28" s="388"/>
      <c r="D28" s="388"/>
      <c r="E28" s="388"/>
      <c r="F28" s="388"/>
      <c r="G28" s="200">
        <v>5</v>
      </c>
      <c r="H28" s="201" t="s">
        <v>264</v>
      </c>
      <c r="I28" s="178" t="s">
        <v>234</v>
      </c>
      <c r="J28" s="146"/>
      <c r="K28" s="388"/>
      <c r="L28" s="388"/>
      <c r="M28" s="388"/>
      <c r="N28" s="404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202"/>
      <c r="AR28" s="202"/>
      <c r="AS28" s="202"/>
      <c r="AT28" s="202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  <c r="CD28" s="147"/>
      <c r="CE28" s="147"/>
      <c r="CF28" s="147"/>
      <c r="CG28" s="147"/>
      <c r="CH28" s="147"/>
      <c r="CI28" s="147"/>
      <c r="CJ28" s="147"/>
      <c r="CK28" s="147"/>
      <c r="CL28" s="147"/>
      <c r="CM28" s="147"/>
      <c r="CN28" s="147"/>
      <c r="CO28" s="147"/>
      <c r="CP28" s="147"/>
      <c r="CQ28" s="179"/>
    </row>
    <row r="29" spans="1:95" ht="31.5" customHeight="1">
      <c r="A29" s="203"/>
      <c r="B29" s="203"/>
      <c r="C29" s="204"/>
      <c r="D29" s="203"/>
      <c r="E29" s="205"/>
      <c r="F29" s="203"/>
      <c r="G29" s="205"/>
      <c r="H29" s="206"/>
      <c r="I29" s="207"/>
      <c r="J29" s="206"/>
      <c r="K29" s="208"/>
      <c r="L29" s="208"/>
      <c r="M29" s="56"/>
      <c r="N29" s="209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</row>
    <row r="30" spans="1:95" ht="31.5" customHeight="1">
      <c r="A30" s="203"/>
      <c r="B30" s="203"/>
      <c r="C30" s="204"/>
      <c r="D30" s="203"/>
      <c r="E30" s="205"/>
      <c r="F30" s="203"/>
      <c r="G30" s="205"/>
      <c r="H30" s="206"/>
      <c r="I30" s="207"/>
      <c r="J30" s="206"/>
      <c r="K30" s="208"/>
      <c r="L30" s="208"/>
      <c r="M30" s="56"/>
      <c r="N30" s="209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  <c r="CI30" s="206"/>
      <c r="CJ30" s="206"/>
      <c r="CK30" s="206"/>
      <c r="CL30" s="206"/>
      <c r="CM30" s="206"/>
      <c r="CN30" s="206"/>
      <c r="CO30" s="206"/>
      <c r="CP30" s="206"/>
      <c r="CQ30" s="206"/>
    </row>
    <row r="31" spans="1:95" ht="31.5" customHeight="1">
      <c r="A31" s="203"/>
      <c r="B31" s="203"/>
      <c r="C31" s="204"/>
      <c r="D31" s="203"/>
      <c r="E31" s="205"/>
      <c r="F31" s="203"/>
      <c r="G31" s="205"/>
      <c r="H31" s="206"/>
      <c r="I31" s="207"/>
      <c r="J31" s="206"/>
      <c r="K31" s="208"/>
      <c r="L31" s="208"/>
      <c r="M31" s="206"/>
      <c r="N31" s="209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</row>
    <row r="32" spans="1:95" ht="31.5" customHeight="1">
      <c r="A32" s="203"/>
      <c r="B32" s="203"/>
      <c r="C32" s="204"/>
      <c r="D32" s="203"/>
      <c r="E32" s="205"/>
      <c r="F32" s="203"/>
      <c r="G32" s="205"/>
      <c r="H32" s="206"/>
      <c r="I32" s="207"/>
      <c r="J32" s="206"/>
      <c r="K32" s="208"/>
      <c r="L32" s="208"/>
      <c r="M32" s="206"/>
      <c r="N32" s="209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6"/>
      <c r="BK32" s="206"/>
      <c r="BL32" s="206"/>
      <c r="BM32" s="206"/>
      <c r="BN32" s="206"/>
      <c r="BO32" s="206"/>
      <c r="BP32" s="206"/>
      <c r="BQ32" s="206"/>
      <c r="BR32" s="206"/>
      <c r="BS32" s="206"/>
      <c r="BT32" s="206"/>
      <c r="BU32" s="206"/>
      <c r="BV32" s="206"/>
      <c r="BW32" s="206"/>
      <c r="BX32" s="206"/>
      <c r="BY32" s="206"/>
      <c r="BZ32" s="206"/>
      <c r="CA32" s="206"/>
      <c r="CB32" s="206"/>
      <c r="CC32" s="206"/>
      <c r="CD32" s="206"/>
      <c r="CE32" s="206"/>
      <c r="CF32" s="206"/>
      <c r="CG32" s="206"/>
      <c r="CH32" s="206"/>
      <c r="CI32" s="206"/>
      <c r="CJ32" s="206"/>
      <c r="CK32" s="206"/>
      <c r="CL32" s="206"/>
      <c r="CM32" s="206"/>
      <c r="CN32" s="206"/>
      <c r="CO32" s="206"/>
      <c r="CP32" s="206"/>
      <c r="CQ32" s="206"/>
    </row>
    <row r="33" spans="1:95" ht="31.5" customHeight="1">
      <c r="A33" s="203"/>
      <c r="B33" s="203"/>
      <c r="C33" s="204"/>
      <c r="D33" s="203"/>
      <c r="E33" s="205"/>
      <c r="F33" s="203"/>
      <c r="G33" s="205"/>
      <c r="H33" s="206"/>
      <c r="I33" s="207"/>
      <c r="J33" s="206"/>
      <c r="K33" s="208"/>
      <c r="L33" s="208"/>
      <c r="M33" s="206"/>
      <c r="N33" s="209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</row>
    <row r="34" spans="1:95" ht="31.5" customHeight="1">
      <c r="A34" s="203"/>
      <c r="B34" s="203"/>
      <c r="C34" s="204"/>
      <c r="D34" s="203"/>
      <c r="E34" s="205"/>
      <c r="F34" s="203"/>
      <c r="G34" s="205"/>
      <c r="H34" s="206"/>
      <c r="I34" s="207"/>
      <c r="J34" s="206"/>
      <c r="K34" s="208"/>
      <c r="L34" s="208"/>
      <c r="M34" s="206"/>
      <c r="N34" s="209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6"/>
      <c r="BQ34" s="206"/>
      <c r="BR34" s="206"/>
      <c r="BS34" s="206"/>
      <c r="BT34" s="206"/>
      <c r="BU34" s="206"/>
      <c r="BV34" s="206"/>
      <c r="BW34" s="206"/>
      <c r="BX34" s="206"/>
      <c r="BY34" s="206"/>
      <c r="BZ34" s="206"/>
      <c r="CA34" s="206"/>
      <c r="CB34" s="206"/>
      <c r="CC34" s="206"/>
      <c r="CD34" s="206"/>
      <c r="CE34" s="206"/>
      <c r="CF34" s="206"/>
      <c r="CG34" s="206"/>
      <c r="CH34" s="206"/>
      <c r="CI34" s="206"/>
      <c r="CJ34" s="206"/>
      <c r="CK34" s="206"/>
      <c r="CL34" s="206"/>
      <c r="CM34" s="206"/>
      <c r="CN34" s="206"/>
      <c r="CO34" s="206"/>
      <c r="CP34" s="206"/>
      <c r="CQ34" s="206"/>
    </row>
    <row r="35" spans="1:95" ht="31.5" customHeight="1">
      <c r="A35" s="203"/>
      <c r="B35" s="203"/>
      <c r="C35" s="204"/>
      <c r="D35" s="203"/>
      <c r="E35" s="205"/>
      <c r="F35" s="203"/>
      <c r="G35" s="205"/>
      <c r="H35" s="206"/>
      <c r="I35" s="207"/>
      <c r="J35" s="206"/>
      <c r="K35" s="208"/>
      <c r="L35" s="208"/>
      <c r="M35" s="206"/>
      <c r="N35" s="209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  <c r="BD35" s="206"/>
      <c r="BE35" s="206"/>
      <c r="BF35" s="206"/>
      <c r="BG35" s="206"/>
      <c r="BH35" s="206"/>
      <c r="BI35" s="206"/>
      <c r="BJ35" s="206"/>
      <c r="BK35" s="206"/>
      <c r="BL35" s="206"/>
      <c r="BM35" s="206"/>
      <c r="BN35" s="206"/>
      <c r="BO35" s="206"/>
      <c r="BP35" s="206"/>
      <c r="BQ35" s="206"/>
      <c r="BR35" s="206"/>
      <c r="BS35" s="206"/>
      <c r="BT35" s="206"/>
      <c r="BU35" s="206"/>
      <c r="BV35" s="206"/>
      <c r="BW35" s="206"/>
      <c r="BX35" s="206"/>
      <c r="BY35" s="206"/>
      <c r="BZ35" s="206"/>
      <c r="CA35" s="206"/>
      <c r="CB35" s="206"/>
      <c r="CC35" s="206"/>
      <c r="CD35" s="206"/>
      <c r="CE35" s="206"/>
      <c r="CF35" s="206"/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</row>
    <row r="36" spans="1:95" ht="31.5" customHeight="1">
      <c r="A36" s="203"/>
      <c r="B36" s="203"/>
      <c r="C36" s="204"/>
      <c r="D36" s="203"/>
      <c r="E36" s="205"/>
      <c r="F36" s="203"/>
      <c r="G36" s="205"/>
      <c r="H36" s="206"/>
      <c r="I36" s="207"/>
      <c r="J36" s="206"/>
      <c r="K36" s="208"/>
      <c r="L36" s="208"/>
      <c r="M36" s="206"/>
      <c r="N36" s="209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206"/>
      <c r="AY36" s="206"/>
      <c r="AZ36" s="206"/>
      <c r="BA36" s="206"/>
      <c r="BB36" s="206"/>
      <c r="BC36" s="206"/>
      <c r="BD36" s="206"/>
      <c r="BE36" s="206"/>
      <c r="BF36" s="206"/>
      <c r="BG36" s="206"/>
      <c r="BH36" s="206"/>
      <c r="BI36" s="206"/>
      <c r="BJ36" s="206"/>
      <c r="BK36" s="206"/>
      <c r="BL36" s="206"/>
      <c r="BM36" s="206"/>
      <c r="BN36" s="206"/>
      <c r="BO36" s="206"/>
      <c r="BP36" s="206"/>
      <c r="BQ36" s="206"/>
      <c r="BR36" s="206"/>
      <c r="BS36" s="206"/>
      <c r="BT36" s="206"/>
      <c r="BU36" s="206"/>
      <c r="BV36" s="206"/>
      <c r="BW36" s="206"/>
      <c r="BX36" s="206"/>
      <c r="BY36" s="206"/>
      <c r="BZ36" s="206"/>
      <c r="CA36" s="206"/>
      <c r="CB36" s="206"/>
      <c r="CC36" s="206"/>
      <c r="CD36" s="206"/>
      <c r="CE36" s="206"/>
      <c r="CF36" s="206"/>
      <c r="CG36" s="206"/>
      <c r="CH36" s="206"/>
      <c r="CI36" s="206"/>
      <c r="CJ36" s="206"/>
      <c r="CK36" s="206"/>
      <c r="CL36" s="206"/>
      <c r="CM36" s="206"/>
      <c r="CN36" s="206"/>
      <c r="CO36" s="206"/>
      <c r="CP36" s="206"/>
      <c r="CQ36" s="206"/>
    </row>
    <row r="37" spans="1:95" ht="31.5" customHeight="1">
      <c r="A37" s="203"/>
      <c r="B37" s="203"/>
      <c r="C37" s="204"/>
      <c r="D37" s="203"/>
      <c r="E37" s="205"/>
      <c r="F37" s="203"/>
      <c r="G37" s="205"/>
      <c r="H37" s="206"/>
      <c r="I37" s="207"/>
      <c r="J37" s="206"/>
      <c r="K37" s="208"/>
      <c r="L37" s="208"/>
      <c r="M37" s="206"/>
      <c r="N37" s="209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6"/>
      <c r="AY37" s="206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6"/>
      <c r="BK37" s="206"/>
      <c r="BL37" s="206"/>
      <c r="BM37" s="206"/>
      <c r="BN37" s="206"/>
      <c r="BO37" s="206"/>
      <c r="BP37" s="206"/>
      <c r="BQ37" s="206"/>
      <c r="BR37" s="206"/>
      <c r="BS37" s="206"/>
      <c r="BT37" s="206"/>
      <c r="BU37" s="206"/>
      <c r="BV37" s="206"/>
      <c r="BW37" s="206"/>
      <c r="BX37" s="206"/>
      <c r="BY37" s="206"/>
      <c r="BZ37" s="206"/>
      <c r="CA37" s="206"/>
      <c r="CB37" s="206"/>
      <c r="CC37" s="206"/>
      <c r="CD37" s="206"/>
      <c r="CE37" s="206"/>
      <c r="CF37" s="206"/>
      <c r="CG37" s="206"/>
      <c r="CH37" s="206"/>
      <c r="CI37" s="206"/>
      <c r="CJ37" s="206"/>
      <c r="CK37" s="206"/>
      <c r="CL37" s="206"/>
      <c r="CM37" s="206"/>
      <c r="CN37" s="206"/>
      <c r="CO37" s="206"/>
      <c r="CP37" s="206"/>
      <c r="CQ37" s="206"/>
    </row>
    <row r="38" spans="1:95" ht="31.5" customHeight="1">
      <c r="A38" s="203"/>
      <c r="B38" s="203"/>
      <c r="C38" s="204"/>
      <c r="D38" s="203"/>
      <c r="E38" s="205"/>
      <c r="F38" s="203"/>
      <c r="G38" s="205"/>
      <c r="H38" s="206"/>
      <c r="I38" s="207"/>
      <c r="J38" s="206"/>
      <c r="K38" s="208"/>
      <c r="L38" s="208"/>
      <c r="M38" s="206"/>
      <c r="N38" s="209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206"/>
      <c r="AL38" s="206"/>
      <c r="AM38" s="206"/>
      <c r="AN38" s="206"/>
      <c r="AO38" s="206"/>
      <c r="AP38" s="206"/>
      <c r="AQ38" s="206"/>
      <c r="AR38" s="206"/>
      <c r="AS38" s="206"/>
      <c r="AT38" s="206"/>
      <c r="AU38" s="206"/>
      <c r="AV38" s="206"/>
      <c r="AW38" s="206"/>
      <c r="AX38" s="206"/>
      <c r="AY38" s="206"/>
      <c r="AZ38" s="206"/>
      <c r="BA38" s="206"/>
      <c r="BB38" s="206"/>
      <c r="BC38" s="206"/>
      <c r="BD38" s="206"/>
      <c r="BE38" s="206"/>
      <c r="BF38" s="206"/>
      <c r="BG38" s="206"/>
      <c r="BH38" s="206"/>
      <c r="BI38" s="206"/>
      <c r="BJ38" s="206"/>
      <c r="BK38" s="206"/>
      <c r="BL38" s="206"/>
      <c r="BM38" s="206"/>
      <c r="BN38" s="206"/>
      <c r="BO38" s="206"/>
      <c r="BP38" s="206"/>
      <c r="BQ38" s="206"/>
      <c r="BR38" s="206"/>
      <c r="BS38" s="206"/>
      <c r="BT38" s="206"/>
      <c r="BU38" s="206"/>
      <c r="BV38" s="206"/>
      <c r="BW38" s="206"/>
      <c r="BX38" s="206"/>
      <c r="BY38" s="206"/>
      <c r="BZ38" s="206"/>
      <c r="CA38" s="206"/>
      <c r="CB38" s="206"/>
      <c r="CC38" s="206"/>
      <c r="CD38" s="206"/>
      <c r="CE38" s="206"/>
      <c r="CF38" s="206"/>
      <c r="CG38" s="206"/>
      <c r="CH38" s="206"/>
      <c r="CI38" s="206"/>
      <c r="CJ38" s="206"/>
      <c r="CK38" s="206"/>
      <c r="CL38" s="206"/>
      <c r="CM38" s="206"/>
      <c r="CN38" s="206"/>
      <c r="CO38" s="206"/>
      <c r="CP38" s="206"/>
      <c r="CQ38" s="206"/>
    </row>
    <row r="39" spans="1:95" ht="31.5" customHeight="1">
      <c r="A39" s="203"/>
      <c r="B39" s="203"/>
      <c r="C39" s="204"/>
      <c r="D39" s="203"/>
      <c r="E39" s="205"/>
      <c r="F39" s="203"/>
      <c r="G39" s="205"/>
      <c r="H39" s="206"/>
      <c r="I39" s="207"/>
      <c r="J39" s="206"/>
      <c r="K39" s="208"/>
      <c r="L39" s="208"/>
      <c r="M39" s="206"/>
      <c r="N39" s="209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6"/>
      <c r="BK39" s="206"/>
      <c r="BL39" s="206"/>
      <c r="BM39" s="206"/>
      <c r="BN39" s="206"/>
      <c r="BO39" s="206"/>
      <c r="BP39" s="206"/>
      <c r="BQ39" s="206"/>
      <c r="BR39" s="206"/>
      <c r="BS39" s="206"/>
      <c r="BT39" s="206"/>
      <c r="BU39" s="206"/>
      <c r="BV39" s="206"/>
      <c r="BW39" s="206"/>
      <c r="BX39" s="206"/>
      <c r="BY39" s="206"/>
      <c r="BZ39" s="206"/>
      <c r="CA39" s="206"/>
      <c r="CB39" s="206"/>
      <c r="CC39" s="206"/>
      <c r="CD39" s="206"/>
      <c r="CE39" s="206"/>
      <c r="CF39" s="206"/>
      <c r="CG39" s="206"/>
      <c r="CH39" s="206"/>
      <c r="CI39" s="206"/>
      <c r="CJ39" s="206"/>
      <c r="CK39" s="206"/>
      <c r="CL39" s="206"/>
      <c r="CM39" s="206"/>
      <c r="CN39" s="206"/>
      <c r="CO39" s="206"/>
      <c r="CP39" s="206"/>
      <c r="CQ39" s="206"/>
    </row>
    <row r="40" spans="1:95" ht="31.5" customHeight="1">
      <c r="A40" s="203"/>
      <c r="B40" s="203"/>
      <c r="C40" s="204"/>
      <c r="D40" s="203"/>
      <c r="E40" s="205"/>
      <c r="F40" s="203"/>
      <c r="G40" s="205"/>
      <c r="H40" s="206"/>
      <c r="I40" s="207"/>
      <c r="J40" s="206"/>
      <c r="K40" s="208"/>
      <c r="L40" s="208"/>
      <c r="M40" s="206"/>
      <c r="N40" s="209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6"/>
      <c r="AY40" s="206"/>
      <c r="AZ40" s="206"/>
      <c r="BA40" s="206"/>
      <c r="BB40" s="206"/>
      <c r="BC40" s="206"/>
      <c r="BD40" s="206"/>
      <c r="BE40" s="206"/>
      <c r="BF40" s="206"/>
      <c r="BG40" s="206"/>
      <c r="BH40" s="206"/>
      <c r="BI40" s="206"/>
      <c r="BJ40" s="206"/>
      <c r="BK40" s="206"/>
      <c r="BL40" s="206"/>
      <c r="BM40" s="206"/>
      <c r="BN40" s="206"/>
      <c r="BO40" s="206"/>
      <c r="BP40" s="206"/>
      <c r="BQ40" s="206"/>
      <c r="BR40" s="206"/>
      <c r="BS40" s="206"/>
      <c r="BT40" s="206"/>
      <c r="BU40" s="206"/>
      <c r="BV40" s="206"/>
      <c r="BW40" s="206"/>
      <c r="BX40" s="206"/>
      <c r="BY40" s="206"/>
      <c r="BZ40" s="206"/>
      <c r="CA40" s="206"/>
      <c r="CB40" s="206"/>
      <c r="CC40" s="206"/>
      <c r="CD40" s="206"/>
      <c r="CE40" s="206"/>
      <c r="CF40" s="206"/>
      <c r="CG40" s="206"/>
      <c r="CH40" s="206"/>
      <c r="CI40" s="206"/>
      <c r="CJ40" s="206"/>
      <c r="CK40" s="206"/>
      <c r="CL40" s="206"/>
      <c r="CM40" s="206"/>
      <c r="CN40" s="206"/>
      <c r="CO40" s="206"/>
      <c r="CP40" s="206"/>
      <c r="CQ40" s="206"/>
    </row>
    <row r="41" spans="1:95" ht="31.5" customHeight="1">
      <c r="A41" s="203"/>
      <c r="B41" s="203"/>
      <c r="C41" s="204"/>
      <c r="D41" s="203"/>
      <c r="E41" s="205"/>
      <c r="F41" s="203"/>
      <c r="G41" s="205"/>
      <c r="H41" s="206"/>
      <c r="I41" s="207"/>
      <c r="J41" s="206"/>
      <c r="K41" s="208"/>
      <c r="L41" s="208"/>
      <c r="M41" s="206"/>
      <c r="N41" s="209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  <c r="BB41" s="206"/>
      <c r="BC41" s="206"/>
      <c r="BD41" s="206"/>
      <c r="BE41" s="206"/>
      <c r="BF41" s="206"/>
      <c r="BG41" s="206"/>
      <c r="BH41" s="206"/>
      <c r="BI41" s="206"/>
      <c r="BJ41" s="206"/>
      <c r="BK41" s="206"/>
      <c r="BL41" s="206"/>
      <c r="BM41" s="206"/>
      <c r="BN41" s="206"/>
      <c r="BO41" s="206"/>
      <c r="BP41" s="206"/>
      <c r="BQ41" s="206"/>
      <c r="BR41" s="206"/>
      <c r="BS41" s="206"/>
      <c r="BT41" s="206"/>
      <c r="BU41" s="206"/>
      <c r="BV41" s="206"/>
      <c r="BW41" s="206"/>
      <c r="BX41" s="206"/>
      <c r="BY41" s="206"/>
      <c r="BZ41" s="206"/>
      <c r="CA41" s="206"/>
      <c r="CB41" s="206"/>
      <c r="CC41" s="206"/>
      <c r="CD41" s="206"/>
      <c r="CE41" s="206"/>
      <c r="CF41" s="206"/>
      <c r="CG41" s="206"/>
      <c r="CH41" s="206"/>
      <c r="CI41" s="206"/>
      <c r="CJ41" s="206"/>
      <c r="CK41" s="206"/>
      <c r="CL41" s="206"/>
      <c r="CM41" s="206"/>
      <c r="CN41" s="206"/>
      <c r="CO41" s="206"/>
      <c r="CP41" s="206"/>
      <c r="CQ41" s="206"/>
    </row>
    <row r="42" spans="1:95" ht="31.5" customHeight="1">
      <c r="A42" s="203"/>
      <c r="B42" s="203"/>
      <c r="C42" s="204"/>
      <c r="D42" s="203"/>
      <c r="E42" s="205"/>
      <c r="F42" s="203"/>
      <c r="G42" s="205"/>
      <c r="H42" s="206"/>
      <c r="I42" s="207"/>
      <c r="J42" s="206"/>
      <c r="K42" s="208"/>
      <c r="L42" s="208"/>
      <c r="M42" s="206"/>
      <c r="N42" s="209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6"/>
      <c r="AY42" s="206"/>
      <c r="AZ42" s="206"/>
      <c r="BA42" s="206"/>
      <c r="BB42" s="206"/>
      <c r="BC42" s="206"/>
      <c r="BD42" s="206"/>
      <c r="BE42" s="206"/>
      <c r="BF42" s="206"/>
      <c r="BG42" s="206"/>
      <c r="BH42" s="206"/>
      <c r="BI42" s="206"/>
      <c r="BJ42" s="206"/>
      <c r="BK42" s="206"/>
      <c r="BL42" s="206"/>
      <c r="BM42" s="206"/>
      <c r="BN42" s="206"/>
      <c r="BO42" s="206"/>
      <c r="BP42" s="206"/>
      <c r="BQ42" s="206"/>
      <c r="BR42" s="206"/>
      <c r="BS42" s="206"/>
      <c r="BT42" s="206"/>
      <c r="BU42" s="206"/>
      <c r="BV42" s="206"/>
      <c r="BW42" s="206"/>
      <c r="BX42" s="206"/>
      <c r="BY42" s="206"/>
      <c r="BZ42" s="206"/>
      <c r="CA42" s="206"/>
      <c r="CB42" s="206"/>
      <c r="CC42" s="206"/>
      <c r="CD42" s="206"/>
      <c r="CE42" s="206"/>
      <c r="CF42" s="206"/>
      <c r="CG42" s="206"/>
      <c r="CH42" s="206"/>
      <c r="CI42" s="206"/>
      <c r="CJ42" s="206"/>
      <c r="CK42" s="206"/>
      <c r="CL42" s="206"/>
      <c r="CM42" s="206"/>
      <c r="CN42" s="206"/>
      <c r="CO42" s="206"/>
      <c r="CP42" s="206"/>
      <c r="CQ42" s="206"/>
    </row>
    <row r="43" spans="1:95" ht="31.5" customHeight="1">
      <c r="A43" s="203"/>
      <c r="B43" s="203"/>
      <c r="C43" s="204"/>
      <c r="D43" s="203"/>
      <c r="E43" s="205"/>
      <c r="F43" s="203"/>
      <c r="G43" s="205"/>
      <c r="H43" s="206"/>
      <c r="I43" s="207"/>
      <c r="J43" s="206"/>
      <c r="K43" s="208"/>
      <c r="L43" s="208"/>
      <c r="M43" s="206"/>
      <c r="N43" s="209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6"/>
      <c r="BO43" s="206"/>
      <c r="BP43" s="206"/>
      <c r="BQ43" s="206"/>
      <c r="BR43" s="206"/>
      <c r="BS43" s="206"/>
      <c r="BT43" s="206"/>
      <c r="BU43" s="206"/>
      <c r="BV43" s="206"/>
      <c r="BW43" s="206"/>
      <c r="BX43" s="206"/>
      <c r="BY43" s="206"/>
      <c r="BZ43" s="206"/>
      <c r="CA43" s="206"/>
      <c r="CB43" s="206"/>
      <c r="CC43" s="206"/>
      <c r="CD43" s="206"/>
      <c r="CE43" s="206"/>
      <c r="CF43" s="206"/>
      <c r="CG43" s="206"/>
      <c r="CH43" s="206"/>
      <c r="CI43" s="206"/>
      <c r="CJ43" s="206"/>
      <c r="CK43" s="206"/>
      <c r="CL43" s="206"/>
      <c r="CM43" s="206"/>
      <c r="CN43" s="206"/>
      <c r="CO43" s="206"/>
      <c r="CP43" s="206"/>
      <c r="CQ43" s="206"/>
    </row>
    <row r="44" spans="1:95" ht="31.5" customHeight="1">
      <c r="A44" s="203"/>
      <c r="B44" s="203"/>
      <c r="C44" s="204"/>
      <c r="D44" s="203"/>
      <c r="E44" s="205"/>
      <c r="F44" s="203"/>
      <c r="G44" s="205"/>
      <c r="H44" s="206"/>
      <c r="I44" s="207"/>
      <c r="J44" s="206"/>
      <c r="K44" s="208"/>
      <c r="L44" s="208"/>
      <c r="M44" s="206"/>
      <c r="N44" s="209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  <c r="BD44" s="206"/>
      <c r="BE44" s="206"/>
      <c r="BF44" s="206"/>
      <c r="BG44" s="206"/>
      <c r="BH44" s="206"/>
      <c r="BI44" s="206"/>
      <c r="BJ44" s="206"/>
      <c r="BK44" s="206"/>
      <c r="BL44" s="206"/>
      <c r="BM44" s="206"/>
      <c r="BN44" s="206"/>
      <c r="BO44" s="206"/>
      <c r="BP44" s="206"/>
      <c r="BQ44" s="206"/>
      <c r="BR44" s="206"/>
      <c r="BS44" s="206"/>
      <c r="BT44" s="206"/>
      <c r="BU44" s="206"/>
      <c r="BV44" s="206"/>
      <c r="BW44" s="206"/>
      <c r="BX44" s="206"/>
      <c r="BY44" s="206"/>
      <c r="BZ44" s="206"/>
      <c r="CA44" s="206"/>
      <c r="CB44" s="206"/>
      <c r="CC44" s="206"/>
      <c r="CD44" s="206"/>
      <c r="CE44" s="206"/>
      <c r="CF44" s="206"/>
      <c r="CG44" s="206"/>
      <c r="CH44" s="206"/>
      <c r="CI44" s="206"/>
      <c r="CJ44" s="206"/>
      <c r="CK44" s="206"/>
      <c r="CL44" s="206"/>
      <c r="CM44" s="206"/>
      <c r="CN44" s="206"/>
      <c r="CO44" s="206"/>
      <c r="CP44" s="206"/>
      <c r="CQ44" s="206"/>
    </row>
    <row r="45" spans="1:95" ht="31.5" customHeight="1">
      <c r="A45" s="203"/>
      <c r="B45" s="203"/>
      <c r="C45" s="204"/>
      <c r="D45" s="203"/>
      <c r="E45" s="205"/>
      <c r="F45" s="203"/>
      <c r="G45" s="205"/>
      <c r="H45" s="206"/>
      <c r="I45" s="207"/>
      <c r="J45" s="206"/>
      <c r="K45" s="208"/>
      <c r="L45" s="208"/>
      <c r="M45" s="206"/>
      <c r="N45" s="209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6"/>
      <c r="AX45" s="206"/>
      <c r="AY45" s="206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6"/>
      <c r="BK45" s="206"/>
      <c r="BL45" s="206"/>
      <c r="BM45" s="206"/>
      <c r="BN45" s="206"/>
      <c r="BO45" s="206"/>
      <c r="BP45" s="206"/>
      <c r="BQ45" s="206"/>
      <c r="BR45" s="206"/>
      <c r="BS45" s="206"/>
      <c r="BT45" s="206"/>
      <c r="BU45" s="206"/>
      <c r="BV45" s="206"/>
      <c r="BW45" s="206"/>
      <c r="BX45" s="206"/>
      <c r="BY45" s="206"/>
      <c r="BZ45" s="206"/>
      <c r="CA45" s="206"/>
      <c r="CB45" s="206"/>
      <c r="CC45" s="206"/>
      <c r="CD45" s="206"/>
      <c r="CE45" s="206"/>
      <c r="CF45" s="206"/>
      <c r="CG45" s="206"/>
      <c r="CH45" s="206"/>
      <c r="CI45" s="206"/>
      <c r="CJ45" s="206"/>
      <c r="CK45" s="206"/>
      <c r="CL45" s="206"/>
      <c r="CM45" s="206"/>
      <c r="CN45" s="206"/>
      <c r="CO45" s="206"/>
      <c r="CP45" s="206"/>
      <c r="CQ45" s="206"/>
    </row>
    <row r="46" spans="1:95" ht="31.5" customHeight="1">
      <c r="A46" s="203"/>
      <c r="B46" s="203"/>
      <c r="C46" s="204"/>
      <c r="D46" s="203"/>
      <c r="E46" s="205"/>
      <c r="F46" s="203"/>
      <c r="G46" s="205"/>
      <c r="H46" s="206"/>
      <c r="I46" s="207"/>
      <c r="J46" s="206"/>
      <c r="K46" s="208"/>
      <c r="L46" s="208"/>
      <c r="M46" s="206"/>
      <c r="N46" s="209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206"/>
      <c r="AX46" s="206"/>
      <c r="AY46" s="206"/>
      <c r="AZ46" s="206"/>
      <c r="BA46" s="206"/>
      <c r="BB46" s="206"/>
      <c r="BC46" s="206"/>
      <c r="BD46" s="206"/>
      <c r="BE46" s="206"/>
      <c r="BF46" s="206"/>
      <c r="BG46" s="206"/>
      <c r="BH46" s="206"/>
      <c r="BI46" s="206"/>
      <c r="BJ46" s="206"/>
      <c r="BK46" s="206"/>
      <c r="BL46" s="206"/>
      <c r="BM46" s="206"/>
      <c r="BN46" s="206"/>
      <c r="BO46" s="206"/>
      <c r="BP46" s="206"/>
      <c r="BQ46" s="206"/>
      <c r="BR46" s="206"/>
      <c r="BS46" s="206"/>
      <c r="BT46" s="206"/>
      <c r="BU46" s="206"/>
      <c r="BV46" s="206"/>
      <c r="BW46" s="206"/>
      <c r="BX46" s="206"/>
      <c r="BY46" s="206"/>
      <c r="BZ46" s="206"/>
      <c r="CA46" s="206"/>
      <c r="CB46" s="206"/>
      <c r="CC46" s="206"/>
      <c r="CD46" s="206"/>
      <c r="CE46" s="206"/>
      <c r="CF46" s="206"/>
      <c r="CG46" s="206"/>
      <c r="CH46" s="206"/>
      <c r="CI46" s="206"/>
      <c r="CJ46" s="206"/>
      <c r="CK46" s="206"/>
      <c r="CL46" s="206"/>
      <c r="CM46" s="206"/>
      <c r="CN46" s="206"/>
      <c r="CO46" s="206"/>
      <c r="CP46" s="206"/>
      <c r="CQ46" s="206"/>
    </row>
    <row r="47" spans="1:95" ht="31.5" customHeight="1">
      <c r="A47" s="203"/>
      <c r="B47" s="203"/>
      <c r="C47" s="204"/>
      <c r="D47" s="203"/>
      <c r="E47" s="205"/>
      <c r="F47" s="203"/>
      <c r="G47" s="205"/>
      <c r="H47" s="206"/>
      <c r="I47" s="207"/>
      <c r="J47" s="206"/>
      <c r="K47" s="208"/>
      <c r="L47" s="208"/>
      <c r="M47" s="206"/>
      <c r="N47" s="209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6"/>
      <c r="AX47" s="206"/>
      <c r="AY47" s="206"/>
      <c r="AZ47" s="206"/>
      <c r="BA47" s="206"/>
      <c r="BB47" s="206"/>
      <c r="BC47" s="206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06"/>
      <c r="BP47" s="206"/>
      <c r="BQ47" s="206"/>
      <c r="BR47" s="206"/>
      <c r="BS47" s="206"/>
      <c r="BT47" s="206"/>
      <c r="BU47" s="206"/>
      <c r="BV47" s="206"/>
      <c r="BW47" s="206"/>
      <c r="BX47" s="206"/>
      <c r="BY47" s="206"/>
      <c r="BZ47" s="206"/>
      <c r="CA47" s="206"/>
      <c r="CB47" s="206"/>
      <c r="CC47" s="206"/>
      <c r="CD47" s="206"/>
      <c r="CE47" s="206"/>
      <c r="CF47" s="206"/>
      <c r="CG47" s="206"/>
      <c r="CH47" s="206"/>
      <c r="CI47" s="206"/>
      <c r="CJ47" s="206"/>
      <c r="CK47" s="206"/>
      <c r="CL47" s="206"/>
      <c r="CM47" s="206"/>
      <c r="CN47" s="206"/>
      <c r="CO47" s="206"/>
      <c r="CP47" s="206"/>
      <c r="CQ47" s="206"/>
    </row>
    <row r="48" spans="1:95" ht="31.5" customHeight="1">
      <c r="A48" s="203"/>
      <c r="B48" s="203"/>
      <c r="C48" s="204"/>
      <c r="D48" s="203"/>
      <c r="E48" s="205"/>
      <c r="F48" s="203"/>
      <c r="G48" s="205"/>
      <c r="H48" s="206"/>
      <c r="I48" s="207"/>
      <c r="J48" s="206"/>
      <c r="K48" s="208"/>
      <c r="L48" s="208"/>
      <c r="M48" s="206"/>
      <c r="N48" s="209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206"/>
      <c r="AY48" s="206"/>
      <c r="AZ48" s="206"/>
      <c r="BA48" s="206"/>
      <c r="BB48" s="206"/>
      <c r="BC48" s="206"/>
      <c r="BD48" s="206"/>
      <c r="BE48" s="206"/>
      <c r="BF48" s="206"/>
      <c r="BG48" s="206"/>
      <c r="BH48" s="206"/>
      <c r="BI48" s="206"/>
      <c r="BJ48" s="206"/>
      <c r="BK48" s="206"/>
      <c r="BL48" s="206"/>
      <c r="BM48" s="206"/>
      <c r="BN48" s="206"/>
      <c r="BO48" s="206"/>
      <c r="BP48" s="206"/>
      <c r="BQ48" s="206"/>
      <c r="BR48" s="206"/>
      <c r="BS48" s="206"/>
      <c r="BT48" s="206"/>
      <c r="BU48" s="206"/>
      <c r="BV48" s="206"/>
      <c r="BW48" s="206"/>
      <c r="BX48" s="206"/>
      <c r="BY48" s="206"/>
      <c r="BZ48" s="206"/>
      <c r="CA48" s="206"/>
      <c r="CB48" s="206"/>
      <c r="CC48" s="206"/>
      <c r="CD48" s="206"/>
      <c r="CE48" s="206"/>
      <c r="CF48" s="206"/>
      <c r="CG48" s="206"/>
      <c r="CH48" s="206"/>
      <c r="CI48" s="206"/>
      <c r="CJ48" s="206"/>
      <c r="CK48" s="206"/>
      <c r="CL48" s="206"/>
      <c r="CM48" s="206"/>
      <c r="CN48" s="206"/>
      <c r="CO48" s="206"/>
      <c r="CP48" s="206"/>
      <c r="CQ48" s="206"/>
    </row>
    <row r="49" spans="1:95" ht="31.5" customHeight="1">
      <c r="A49" s="203"/>
      <c r="B49" s="203"/>
      <c r="C49" s="204"/>
      <c r="D49" s="203"/>
      <c r="E49" s="205"/>
      <c r="F49" s="203"/>
      <c r="G49" s="205"/>
      <c r="H49" s="206"/>
      <c r="I49" s="207"/>
      <c r="J49" s="206"/>
      <c r="K49" s="208"/>
      <c r="L49" s="208"/>
      <c r="M49" s="206"/>
      <c r="N49" s="209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6"/>
      <c r="AX49" s="206"/>
      <c r="AY49" s="206"/>
      <c r="AZ49" s="206"/>
      <c r="BA49" s="206"/>
      <c r="BB49" s="206"/>
      <c r="BC49" s="206"/>
      <c r="BD49" s="206"/>
      <c r="BE49" s="206"/>
      <c r="BF49" s="206"/>
      <c r="BG49" s="206"/>
      <c r="BH49" s="206"/>
      <c r="BI49" s="206"/>
      <c r="BJ49" s="206"/>
      <c r="BK49" s="206"/>
      <c r="BL49" s="206"/>
      <c r="BM49" s="206"/>
      <c r="BN49" s="206"/>
      <c r="BO49" s="206"/>
      <c r="BP49" s="206"/>
      <c r="BQ49" s="206"/>
      <c r="BR49" s="206"/>
      <c r="BS49" s="206"/>
      <c r="BT49" s="206"/>
      <c r="BU49" s="206"/>
      <c r="BV49" s="206"/>
      <c r="BW49" s="206"/>
      <c r="BX49" s="206"/>
      <c r="BY49" s="206"/>
      <c r="BZ49" s="206"/>
      <c r="CA49" s="206"/>
      <c r="CB49" s="206"/>
      <c r="CC49" s="206"/>
      <c r="CD49" s="206"/>
      <c r="CE49" s="206"/>
      <c r="CF49" s="206"/>
      <c r="CG49" s="206"/>
      <c r="CH49" s="206"/>
      <c r="CI49" s="206"/>
      <c r="CJ49" s="206"/>
      <c r="CK49" s="206"/>
      <c r="CL49" s="206"/>
      <c r="CM49" s="206"/>
      <c r="CN49" s="206"/>
      <c r="CO49" s="206"/>
      <c r="CP49" s="206"/>
      <c r="CQ49" s="206"/>
    </row>
    <row r="50" spans="1:95" ht="31.5" customHeight="1">
      <c r="A50" s="203"/>
      <c r="B50" s="203"/>
      <c r="C50" s="204"/>
      <c r="D50" s="203"/>
      <c r="E50" s="205"/>
      <c r="F50" s="203"/>
      <c r="G50" s="205"/>
      <c r="H50" s="206"/>
      <c r="I50" s="207"/>
      <c r="J50" s="206"/>
      <c r="K50" s="208"/>
      <c r="L50" s="208"/>
      <c r="M50" s="206"/>
      <c r="N50" s="209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  <c r="AE50" s="206"/>
      <c r="AF50" s="206"/>
      <c r="AG50" s="206"/>
      <c r="AH50" s="206"/>
      <c r="AI50" s="206"/>
      <c r="AJ50" s="206"/>
      <c r="AK50" s="206"/>
      <c r="AL50" s="206"/>
      <c r="AM50" s="206"/>
      <c r="AN50" s="206"/>
      <c r="AO50" s="206"/>
      <c r="AP50" s="206"/>
      <c r="AQ50" s="206"/>
      <c r="AR50" s="206"/>
      <c r="AS50" s="206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  <c r="BD50" s="206"/>
      <c r="BE50" s="206"/>
      <c r="BF50" s="206"/>
      <c r="BG50" s="206"/>
      <c r="BH50" s="206"/>
      <c r="BI50" s="206"/>
      <c r="BJ50" s="206"/>
      <c r="BK50" s="206"/>
      <c r="BL50" s="206"/>
      <c r="BM50" s="206"/>
      <c r="BN50" s="206"/>
      <c r="BO50" s="206"/>
      <c r="BP50" s="206"/>
      <c r="BQ50" s="206"/>
      <c r="BR50" s="206"/>
      <c r="BS50" s="206"/>
      <c r="BT50" s="206"/>
      <c r="BU50" s="206"/>
      <c r="BV50" s="206"/>
      <c r="BW50" s="206"/>
      <c r="BX50" s="206"/>
      <c r="BY50" s="206"/>
      <c r="BZ50" s="206"/>
      <c r="CA50" s="206"/>
      <c r="CB50" s="206"/>
      <c r="CC50" s="206"/>
      <c r="CD50" s="206"/>
      <c r="CE50" s="206"/>
      <c r="CF50" s="206"/>
      <c r="CG50" s="206"/>
      <c r="CH50" s="206"/>
      <c r="CI50" s="206"/>
      <c r="CJ50" s="206"/>
      <c r="CK50" s="206"/>
      <c r="CL50" s="206"/>
      <c r="CM50" s="206"/>
      <c r="CN50" s="206"/>
      <c r="CO50" s="206"/>
      <c r="CP50" s="206"/>
      <c r="CQ50" s="206"/>
    </row>
    <row r="51" spans="1:95" ht="31.5" customHeight="1">
      <c r="A51" s="203"/>
      <c r="B51" s="203"/>
      <c r="C51" s="204"/>
      <c r="D51" s="203"/>
      <c r="E51" s="205"/>
      <c r="F51" s="203"/>
      <c r="G51" s="205"/>
      <c r="H51" s="206"/>
      <c r="I51" s="207"/>
      <c r="J51" s="206"/>
      <c r="K51" s="208"/>
      <c r="L51" s="208"/>
      <c r="M51" s="206"/>
      <c r="N51" s="209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/>
      <c r="AQ51" s="206"/>
      <c r="AR51" s="206"/>
      <c r="AS51" s="206"/>
      <c r="AT51" s="206"/>
      <c r="AU51" s="206"/>
      <c r="AV51" s="206"/>
      <c r="AW51" s="206"/>
      <c r="AX51" s="206"/>
      <c r="AY51" s="206"/>
      <c r="AZ51" s="206"/>
      <c r="BA51" s="206"/>
      <c r="BB51" s="206"/>
      <c r="BC51" s="206"/>
      <c r="BD51" s="206"/>
      <c r="BE51" s="206"/>
      <c r="BF51" s="206"/>
      <c r="BG51" s="206"/>
      <c r="BH51" s="206"/>
      <c r="BI51" s="206"/>
      <c r="BJ51" s="206"/>
      <c r="BK51" s="206"/>
      <c r="BL51" s="206"/>
      <c r="BM51" s="206"/>
      <c r="BN51" s="206"/>
      <c r="BO51" s="206"/>
      <c r="BP51" s="206"/>
      <c r="BQ51" s="206"/>
      <c r="BR51" s="206"/>
      <c r="BS51" s="206"/>
      <c r="BT51" s="206"/>
      <c r="BU51" s="206"/>
      <c r="BV51" s="206"/>
      <c r="BW51" s="206"/>
      <c r="BX51" s="206"/>
      <c r="BY51" s="206"/>
      <c r="BZ51" s="206"/>
      <c r="CA51" s="206"/>
      <c r="CB51" s="206"/>
      <c r="CC51" s="206"/>
      <c r="CD51" s="206"/>
      <c r="CE51" s="206"/>
      <c r="CF51" s="206"/>
      <c r="CG51" s="206"/>
      <c r="CH51" s="206"/>
      <c r="CI51" s="206"/>
      <c r="CJ51" s="206"/>
      <c r="CK51" s="206"/>
      <c r="CL51" s="206"/>
      <c r="CM51" s="206"/>
      <c r="CN51" s="206"/>
      <c r="CO51" s="206"/>
      <c r="CP51" s="206"/>
      <c r="CQ51" s="206"/>
    </row>
    <row r="52" spans="1:95" ht="31.5" customHeight="1">
      <c r="A52" s="203"/>
      <c r="B52" s="203"/>
      <c r="C52" s="204"/>
      <c r="D52" s="203"/>
      <c r="E52" s="205"/>
      <c r="F52" s="203"/>
      <c r="G52" s="205"/>
      <c r="H52" s="206"/>
      <c r="I52" s="207"/>
      <c r="J52" s="206"/>
      <c r="K52" s="208"/>
      <c r="L52" s="208"/>
      <c r="M52" s="206"/>
      <c r="N52" s="209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6"/>
      <c r="AT52" s="206"/>
      <c r="AU52" s="206"/>
      <c r="AV52" s="206"/>
      <c r="AW52" s="206"/>
      <c r="AX52" s="206"/>
      <c r="AY52" s="206"/>
      <c r="AZ52" s="206"/>
      <c r="BA52" s="206"/>
      <c r="BB52" s="206"/>
      <c r="BC52" s="206"/>
      <c r="BD52" s="206"/>
      <c r="BE52" s="206"/>
      <c r="BF52" s="206"/>
      <c r="BG52" s="206"/>
      <c r="BH52" s="206"/>
      <c r="BI52" s="206"/>
      <c r="BJ52" s="206"/>
      <c r="BK52" s="206"/>
      <c r="BL52" s="206"/>
      <c r="BM52" s="206"/>
      <c r="BN52" s="206"/>
      <c r="BO52" s="206"/>
      <c r="BP52" s="206"/>
      <c r="BQ52" s="206"/>
      <c r="BR52" s="206"/>
      <c r="BS52" s="206"/>
      <c r="BT52" s="206"/>
      <c r="BU52" s="206"/>
      <c r="BV52" s="206"/>
      <c r="BW52" s="206"/>
      <c r="BX52" s="206"/>
      <c r="BY52" s="206"/>
      <c r="BZ52" s="206"/>
      <c r="CA52" s="206"/>
      <c r="CB52" s="206"/>
      <c r="CC52" s="206"/>
      <c r="CD52" s="206"/>
      <c r="CE52" s="206"/>
      <c r="CF52" s="206"/>
      <c r="CG52" s="206"/>
      <c r="CH52" s="206"/>
      <c r="CI52" s="206"/>
      <c r="CJ52" s="206"/>
      <c r="CK52" s="206"/>
      <c r="CL52" s="206"/>
      <c r="CM52" s="206"/>
      <c r="CN52" s="206"/>
      <c r="CO52" s="206"/>
      <c r="CP52" s="206"/>
      <c r="CQ52" s="206"/>
    </row>
    <row r="53" spans="1:95" ht="31.5" customHeight="1">
      <c r="A53" s="203"/>
      <c r="B53" s="203"/>
      <c r="C53" s="204"/>
      <c r="D53" s="203"/>
      <c r="E53" s="205"/>
      <c r="F53" s="203"/>
      <c r="G53" s="205"/>
      <c r="H53" s="206"/>
      <c r="I53" s="207"/>
      <c r="J53" s="206"/>
      <c r="K53" s="208"/>
      <c r="L53" s="208"/>
      <c r="M53" s="206"/>
      <c r="N53" s="209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6"/>
      <c r="AX53" s="206"/>
      <c r="AY53" s="206"/>
      <c r="AZ53" s="206"/>
      <c r="BA53" s="206"/>
      <c r="BB53" s="206"/>
      <c r="BC53" s="206"/>
      <c r="BD53" s="206"/>
      <c r="BE53" s="206"/>
      <c r="BF53" s="206"/>
      <c r="BG53" s="206"/>
      <c r="BH53" s="206"/>
      <c r="BI53" s="206"/>
      <c r="BJ53" s="206"/>
      <c r="BK53" s="206"/>
      <c r="BL53" s="206"/>
      <c r="BM53" s="206"/>
      <c r="BN53" s="206"/>
      <c r="BO53" s="206"/>
      <c r="BP53" s="206"/>
      <c r="BQ53" s="206"/>
      <c r="BR53" s="206"/>
      <c r="BS53" s="206"/>
      <c r="BT53" s="206"/>
      <c r="BU53" s="206"/>
      <c r="BV53" s="206"/>
      <c r="BW53" s="206"/>
      <c r="BX53" s="206"/>
      <c r="BY53" s="206"/>
      <c r="BZ53" s="206"/>
      <c r="CA53" s="206"/>
      <c r="CB53" s="206"/>
      <c r="CC53" s="206"/>
      <c r="CD53" s="206"/>
      <c r="CE53" s="206"/>
      <c r="CF53" s="206"/>
      <c r="CG53" s="206"/>
      <c r="CH53" s="206"/>
      <c r="CI53" s="206"/>
      <c r="CJ53" s="206"/>
      <c r="CK53" s="206"/>
      <c r="CL53" s="206"/>
      <c r="CM53" s="206"/>
      <c r="CN53" s="206"/>
      <c r="CO53" s="206"/>
      <c r="CP53" s="206"/>
      <c r="CQ53" s="206"/>
    </row>
    <row r="54" spans="1:95" ht="31.5" customHeight="1">
      <c r="A54" s="203"/>
      <c r="B54" s="203"/>
      <c r="C54" s="204"/>
      <c r="D54" s="203"/>
      <c r="E54" s="205"/>
      <c r="F54" s="203"/>
      <c r="G54" s="205"/>
      <c r="H54" s="206"/>
      <c r="I54" s="207"/>
      <c r="J54" s="206"/>
      <c r="K54" s="208"/>
      <c r="L54" s="208"/>
      <c r="M54" s="206"/>
      <c r="N54" s="209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6"/>
      <c r="AK54" s="206"/>
      <c r="AL54" s="206"/>
      <c r="AM54" s="206"/>
      <c r="AN54" s="206"/>
      <c r="AO54" s="206"/>
      <c r="AP54" s="206"/>
      <c r="AQ54" s="206"/>
      <c r="AR54" s="206"/>
      <c r="AS54" s="206"/>
      <c r="AT54" s="206"/>
      <c r="AU54" s="206"/>
      <c r="AV54" s="206"/>
      <c r="AW54" s="206"/>
      <c r="AX54" s="206"/>
      <c r="AY54" s="206"/>
      <c r="AZ54" s="206"/>
      <c r="BA54" s="206"/>
      <c r="BB54" s="206"/>
      <c r="BC54" s="206"/>
      <c r="BD54" s="206"/>
      <c r="BE54" s="206"/>
      <c r="BF54" s="206"/>
      <c r="BG54" s="206"/>
      <c r="BH54" s="206"/>
      <c r="BI54" s="206"/>
      <c r="BJ54" s="206"/>
      <c r="BK54" s="206"/>
      <c r="BL54" s="206"/>
      <c r="BM54" s="206"/>
      <c r="BN54" s="206"/>
      <c r="BO54" s="206"/>
      <c r="BP54" s="206"/>
      <c r="BQ54" s="206"/>
      <c r="BR54" s="206"/>
      <c r="BS54" s="206"/>
      <c r="BT54" s="206"/>
      <c r="BU54" s="206"/>
      <c r="BV54" s="206"/>
      <c r="BW54" s="206"/>
      <c r="BX54" s="206"/>
      <c r="BY54" s="206"/>
      <c r="BZ54" s="206"/>
      <c r="CA54" s="206"/>
      <c r="CB54" s="206"/>
      <c r="CC54" s="206"/>
      <c r="CD54" s="206"/>
      <c r="CE54" s="206"/>
      <c r="CF54" s="206"/>
      <c r="CG54" s="206"/>
      <c r="CH54" s="206"/>
      <c r="CI54" s="206"/>
      <c r="CJ54" s="206"/>
      <c r="CK54" s="206"/>
      <c r="CL54" s="206"/>
      <c r="CM54" s="206"/>
      <c r="CN54" s="206"/>
      <c r="CO54" s="206"/>
      <c r="CP54" s="206"/>
      <c r="CQ54" s="206"/>
    </row>
    <row r="55" spans="1:95" ht="31.5" customHeight="1">
      <c r="A55" s="203"/>
      <c r="B55" s="203"/>
      <c r="C55" s="204"/>
      <c r="D55" s="203"/>
      <c r="E55" s="205"/>
      <c r="F55" s="203"/>
      <c r="G55" s="205"/>
      <c r="H55" s="206"/>
      <c r="I55" s="207"/>
      <c r="J55" s="206"/>
      <c r="K55" s="208"/>
      <c r="L55" s="208"/>
      <c r="M55" s="206"/>
      <c r="N55" s="209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06"/>
      <c r="AL55" s="206"/>
      <c r="AM55" s="206"/>
      <c r="AN55" s="206"/>
      <c r="AO55" s="206"/>
      <c r="AP55" s="206"/>
      <c r="AQ55" s="206"/>
      <c r="AR55" s="206"/>
      <c r="AS55" s="206"/>
      <c r="AT55" s="206"/>
      <c r="AU55" s="206"/>
      <c r="AV55" s="206"/>
      <c r="AW55" s="206"/>
      <c r="AX55" s="206"/>
      <c r="AY55" s="206"/>
      <c r="AZ55" s="206"/>
      <c r="BA55" s="206"/>
      <c r="BB55" s="206"/>
      <c r="BC55" s="206"/>
      <c r="BD55" s="206"/>
      <c r="BE55" s="206"/>
      <c r="BF55" s="206"/>
      <c r="BG55" s="206"/>
      <c r="BH55" s="206"/>
      <c r="BI55" s="206"/>
      <c r="BJ55" s="206"/>
      <c r="BK55" s="206"/>
      <c r="BL55" s="206"/>
      <c r="BM55" s="206"/>
      <c r="BN55" s="206"/>
      <c r="BO55" s="206"/>
      <c r="BP55" s="206"/>
      <c r="BQ55" s="206"/>
      <c r="BR55" s="206"/>
      <c r="BS55" s="206"/>
      <c r="BT55" s="206"/>
      <c r="BU55" s="206"/>
      <c r="BV55" s="206"/>
      <c r="BW55" s="206"/>
      <c r="BX55" s="206"/>
      <c r="BY55" s="206"/>
      <c r="BZ55" s="206"/>
      <c r="CA55" s="206"/>
      <c r="CB55" s="206"/>
      <c r="CC55" s="206"/>
      <c r="CD55" s="206"/>
      <c r="CE55" s="206"/>
      <c r="CF55" s="206"/>
      <c r="CG55" s="206"/>
      <c r="CH55" s="206"/>
      <c r="CI55" s="206"/>
      <c r="CJ55" s="206"/>
      <c r="CK55" s="206"/>
      <c r="CL55" s="206"/>
      <c r="CM55" s="206"/>
      <c r="CN55" s="206"/>
      <c r="CO55" s="206"/>
      <c r="CP55" s="206"/>
      <c r="CQ55" s="206"/>
    </row>
    <row r="56" spans="1:95" ht="31.5" customHeight="1">
      <c r="A56" s="203"/>
      <c r="B56" s="203"/>
      <c r="C56" s="204"/>
      <c r="D56" s="203"/>
      <c r="E56" s="205"/>
      <c r="F56" s="203"/>
      <c r="G56" s="205"/>
      <c r="H56" s="206"/>
      <c r="I56" s="207"/>
      <c r="J56" s="206"/>
      <c r="K56" s="208"/>
      <c r="L56" s="208"/>
      <c r="M56" s="206"/>
      <c r="N56" s="209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  <c r="AK56" s="206"/>
      <c r="AL56" s="206"/>
      <c r="AM56" s="206"/>
      <c r="AN56" s="206"/>
      <c r="AO56" s="206"/>
      <c r="AP56" s="206"/>
      <c r="AQ56" s="206"/>
      <c r="AR56" s="206"/>
      <c r="AS56" s="206"/>
      <c r="AT56" s="206"/>
      <c r="AU56" s="206"/>
      <c r="AV56" s="206"/>
      <c r="AW56" s="206"/>
      <c r="AX56" s="206"/>
      <c r="AY56" s="206"/>
      <c r="AZ56" s="206"/>
      <c r="BA56" s="206"/>
      <c r="BB56" s="206"/>
      <c r="BC56" s="206"/>
      <c r="BD56" s="206"/>
      <c r="BE56" s="206"/>
      <c r="BF56" s="206"/>
      <c r="BG56" s="206"/>
      <c r="BH56" s="206"/>
      <c r="BI56" s="206"/>
      <c r="BJ56" s="206"/>
      <c r="BK56" s="206"/>
      <c r="BL56" s="206"/>
      <c r="BM56" s="206"/>
      <c r="BN56" s="206"/>
      <c r="BO56" s="206"/>
      <c r="BP56" s="206"/>
      <c r="BQ56" s="206"/>
      <c r="BR56" s="206"/>
      <c r="BS56" s="206"/>
      <c r="BT56" s="206"/>
      <c r="BU56" s="206"/>
      <c r="BV56" s="206"/>
      <c r="BW56" s="206"/>
      <c r="BX56" s="206"/>
      <c r="BY56" s="206"/>
      <c r="BZ56" s="206"/>
      <c r="CA56" s="206"/>
      <c r="CB56" s="206"/>
      <c r="CC56" s="206"/>
      <c r="CD56" s="206"/>
      <c r="CE56" s="206"/>
      <c r="CF56" s="206"/>
      <c r="CG56" s="206"/>
      <c r="CH56" s="206"/>
      <c r="CI56" s="206"/>
      <c r="CJ56" s="206"/>
      <c r="CK56" s="206"/>
      <c r="CL56" s="206"/>
      <c r="CM56" s="206"/>
      <c r="CN56" s="206"/>
      <c r="CO56" s="206"/>
      <c r="CP56" s="206"/>
      <c r="CQ56" s="206"/>
    </row>
    <row r="57" spans="1:95" ht="31.5" customHeight="1">
      <c r="A57" s="203"/>
      <c r="B57" s="203"/>
      <c r="C57" s="204"/>
      <c r="D57" s="203"/>
      <c r="E57" s="205"/>
      <c r="F57" s="203"/>
      <c r="G57" s="205"/>
      <c r="H57" s="206"/>
      <c r="I57" s="207"/>
      <c r="J57" s="206"/>
      <c r="K57" s="208"/>
      <c r="L57" s="208"/>
      <c r="M57" s="206"/>
      <c r="N57" s="209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06"/>
      <c r="AO57" s="206"/>
      <c r="AP57" s="206"/>
      <c r="AQ57" s="206"/>
      <c r="AR57" s="206"/>
      <c r="AS57" s="206"/>
      <c r="AT57" s="206"/>
      <c r="AU57" s="206"/>
      <c r="AV57" s="206"/>
      <c r="AW57" s="206"/>
      <c r="AX57" s="206"/>
      <c r="AY57" s="206"/>
      <c r="AZ57" s="206"/>
      <c r="BA57" s="206"/>
      <c r="BB57" s="206"/>
      <c r="BC57" s="206"/>
      <c r="BD57" s="206"/>
      <c r="BE57" s="206"/>
      <c r="BF57" s="206"/>
      <c r="BG57" s="206"/>
      <c r="BH57" s="206"/>
      <c r="BI57" s="206"/>
      <c r="BJ57" s="206"/>
      <c r="BK57" s="206"/>
      <c r="BL57" s="206"/>
      <c r="BM57" s="206"/>
      <c r="BN57" s="206"/>
      <c r="BO57" s="206"/>
      <c r="BP57" s="206"/>
      <c r="BQ57" s="206"/>
      <c r="BR57" s="206"/>
      <c r="BS57" s="206"/>
      <c r="BT57" s="206"/>
      <c r="BU57" s="206"/>
      <c r="BV57" s="206"/>
      <c r="BW57" s="206"/>
      <c r="BX57" s="206"/>
      <c r="BY57" s="206"/>
      <c r="BZ57" s="206"/>
      <c r="CA57" s="206"/>
      <c r="CB57" s="206"/>
      <c r="CC57" s="206"/>
      <c r="CD57" s="206"/>
      <c r="CE57" s="206"/>
      <c r="CF57" s="206"/>
      <c r="CG57" s="206"/>
      <c r="CH57" s="206"/>
      <c r="CI57" s="206"/>
      <c r="CJ57" s="206"/>
      <c r="CK57" s="206"/>
      <c r="CL57" s="206"/>
      <c r="CM57" s="206"/>
      <c r="CN57" s="206"/>
      <c r="CO57" s="206"/>
      <c r="CP57" s="206"/>
      <c r="CQ57" s="206"/>
    </row>
  </sheetData>
  <mergeCells count="107">
    <mergeCell ref="L16:L17"/>
    <mergeCell ref="M16:M17"/>
    <mergeCell ref="N16:N17"/>
    <mergeCell ref="A18:A19"/>
    <mergeCell ref="A20:A23"/>
    <mergeCell ref="B20:B23"/>
    <mergeCell ref="C20:C23"/>
    <mergeCell ref="D20:D23"/>
    <mergeCell ref="E20:E23"/>
    <mergeCell ref="F20:F23"/>
    <mergeCell ref="A16:A17"/>
    <mergeCell ref="B16:B17"/>
    <mergeCell ref="C16:C17"/>
    <mergeCell ref="B18:B19"/>
    <mergeCell ref="C18:C19"/>
    <mergeCell ref="L4:L7"/>
    <mergeCell ref="M4:M7"/>
    <mergeCell ref="N4:N7"/>
    <mergeCell ref="K8:K13"/>
    <mergeCell ref="L8:L13"/>
    <mergeCell ref="M8:M13"/>
    <mergeCell ref="N8:N13"/>
    <mergeCell ref="K14:K15"/>
    <mergeCell ref="L14:L15"/>
    <mergeCell ref="M14:M15"/>
    <mergeCell ref="N14:N15"/>
    <mergeCell ref="E14:E15"/>
    <mergeCell ref="D16:D17"/>
    <mergeCell ref="E16:E17"/>
    <mergeCell ref="F16:F17"/>
    <mergeCell ref="D18:D19"/>
    <mergeCell ref="E18:E19"/>
    <mergeCell ref="F18:F19"/>
    <mergeCell ref="A8:A13"/>
    <mergeCell ref="B8:B13"/>
    <mergeCell ref="C8:C13"/>
    <mergeCell ref="D8:D13"/>
    <mergeCell ref="E8:E13"/>
    <mergeCell ref="F8:F13"/>
    <mergeCell ref="A14:A15"/>
    <mergeCell ref="F14:F15"/>
    <mergeCell ref="B14:B15"/>
    <mergeCell ref="C14:C15"/>
    <mergeCell ref="L24:L28"/>
    <mergeCell ref="M24:M28"/>
    <mergeCell ref="N24:N28"/>
    <mergeCell ref="A24:A28"/>
    <mergeCell ref="B24:B28"/>
    <mergeCell ref="C24:C28"/>
    <mergeCell ref="D24:D28"/>
    <mergeCell ref="E24:E28"/>
    <mergeCell ref="F24:F28"/>
    <mergeCell ref="K24:K28"/>
    <mergeCell ref="A1:A3"/>
    <mergeCell ref="B1:B3"/>
    <mergeCell ref="C1:C3"/>
    <mergeCell ref="D1:D3"/>
    <mergeCell ref="E1:E3"/>
    <mergeCell ref="F1:F3"/>
    <mergeCell ref="G1:G3"/>
    <mergeCell ref="M20:M23"/>
    <mergeCell ref="N20:N23"/>
    <mergeCell ref="K16:K17"/>
    <mergeCell ref="K18:K19"/>
    <mergeCell ref="L18:L19"/>
    <mergeCell ref="M18:M19"/>
    <mergeCell ref="N18:N19"/>
    <mergeCell ref="K20:K23"/>
    <mergeCell ref="L20:L23"/>
    <mergeCell ref="A4:A7"/>
    <mergeCell ref="B4:B7"/>
    <mergeCell ref="C4:C7"/>
    <mergeCell ref="D4:D7"/>
    <mergeCell ref="E4:E7"/>
    <mergeCell ref="F4:F7"/>
    <mergeCell ref="K4:K7"/>
    <mergeCell ref="D14:D15"/>
    <mergeCell ref="H1:H3"/>
    <mergeCell ref="I1:I3"/>
    <mergeCell ref="J1:J3"/>
    <mergeCell ref="K1:K3"/>
    <mergeCell ref="L1:L3"/>
    <mergeCell ref="M1:M3"/>
    <mergeCell ref="N1:N3"/>
    <mergeCell ref="AE2:AH2"/>
    <mergeCell ref="AI2:AL2"/>
    <mergeCell ref="BS2:BV2"/>
    <mergeCell ref="BW2:BZ2"/>
    <mergeCell ref="CA2:CD2"/>
    <mergeCell ref="CE2:CH2"/>
    <mergeCell ref="CI2:CL2"/>
    <mergeCell ref="CM2:CP2"/>
    <mergeCell ref="O1:AT1"/>
    <mergeCell ref="AU1:CP1"/>
    <mergeCell ref="CQ1:CQ3"/>
    <mergeCell ref="O2:R2"/>
    <mergeCell ref="S2:V2"/>
    <mergeCell ref="W2:Z2"/>
    <mergeCell ref="AA2:AD2"/>
    <mergeCell ref="AM2:AP2"/>
    <mergeCell ref="AQ2:AT2"/>
    <mergeCell ref="AU2:AX2"/>
    <mergeCell ref="AY2:BB2"/>
    <mergeCell ref="BC2:BF2"/>
    <mergeCell ref="BG2:BJ2"/>
    <mergeCell ref="BK2:BN2"/>
    <mergeCell ref="BO2:BR2"/>
  </mergeCells>
  <conditionalFormatting sqref="N4:N28">
    <cfRule type="colorScale" priority="1">
      <colorScale>
        <cfvo type="percent" val="0"/>
        <cfvo type="percent" val="50"/>
        <cfvo type="percent" val="100"/>
        <color rgb="FFFFE599"/>
        <color rgb="FFABDDC5"/>
        <color rgb="FF57BB8A"/>
      </colorScale>
    </cfRule>
  </conditionalFormatting>
  <dataValidations count="1">
    <dataValidation type="list" allowBlank="1" showErrorMessage="1" sqref="I4:I28" xr:uid="{00000000-0002-0000-0500-000000000000}">
      <formula1>"Complete,In Progress"</formula1>
    </dataValidation>
  </dataValidations>
  <pageMargins left="0.7" right="0.7" top="0.75" bottom="0.75" header="0" footer="0"/>
  <pageSetup fitToHeight="0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Y981"/>
  <sheetViews>
    <sheetView topLeftCell="A7" zoomScale="88" zoomScaleNormal="88" workbookViewId="0">
      <selection activeCell="B3" sqref="B3"/>
    </sheetView>
  </sheetViews>
  <sheetFormatPr defaultColWidth="14.44140625" defaultRowHeight="15" customHeight="1"/>
  <cols>
    <col min="1" max="1" width="9.33203125" style="216" customWidth="1"/>
    <col min="2" max="2" width="23.6640625" style="224" customWidth="1"/>
    <col min="3" max="3" width="61.33203125" style="216" customWidth="1"/>
    <col min="4" max="4" width="107.44140625" style="216" customWidth="1"/>
    <col min="5" max="5" width="14.44140625" style="216"/>
    <col min="6" max="25" width="8.77734375" style="216" customWidth="1"/>
    <col min="26" max="16384" width="14.44140625" style="216"/>
  </cols>
  <sheetData>
    <row r="1" spans="1:25" ht="29.1" customHeight="1">
      <c r="A1" s="212" t="s">
        <v>340</v>
      </c>
      <c r="B1" s="213" t="s">
        <v>265</v>
      </c>
      <c r="C1" s="214" t="s">
        <v>266</v>
      </c>
      <c r="D1" s="214" t="s">
        <v>267</v>
      </c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</row>
    <row r="2" spans="1:25" ht="150">
      <c r="A2" s="217">
        <v>1</v>
      </c>
      <c r="B2" s="218" t="s">
        <v>268</v>
      </c>
      <c r="C2" s="219" t="s">
        <v>269</v>
      </c>
      <c r="D2" s="218" t="s">
        <v>500</v>
      </c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</row>
    <row r="3" spans="1:25" ht="270">
      <c r="A3" s="217">
        <v>2</v>
      </c>
      <c r="B3" s="218" t="s">
        <v>270</v>
      </c>
      <c r="C3" s="219" t="s">
        <v>271</v>
      </c>
      <c r="D3" s="218" t="s">
        <v>272</v>
      </c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</row>
    <row r="4" spans="1:25" ht="240">
      <c r="A4" s="217">
        <v>3</v>
      </c>
      <c r="B4" s="218" t="s">
        <v>273</v>
      </c>
      <c r="C4" s="219" t="s">
        <v>274</v>
      </c>
      <c r="D4" s="218" t="s">
        <v>275</v>
      </c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</row>
    <row r="5" spans="1:25" ht="158.1" customHeight="1">
      <c r="A5" s="217">
        <v>4</v>
      </c>
      <c r="B5" s="218" t="s">
        <v>276</v>
      </c>
      <c r="C5" s="219" t="s">
        <v>277</v>
      </c>
      <c r="D5" s="218" t="s">
        <v>278</v>
      </c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</row>
    <row r="6" spans="1:25" ht="90">
      <c r="A6" s="217">
        <v>5</v>
      </c>
      <c r="B6" s="218" t="s">
        <v>279</v>
      </c>
      <c r="C6" s="219" t="s">
        <v>280</v>
      </c>
      <c r="D6" s="218" t="s">
        <v>281</v>
      </c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</row>
    <row r="7" spans="1:25" ht="90">
      <c r="A7" s="217">
        <v>6</v>
      </c>
      <c r="B7" s="218" t="s">
        <v>282</v>
      </c>
      <c r="C7" s="219" t="s">
        <v>283</v>
      </c>
      <c r="D7" s="218" t="s">
        <v>284</v>
      </c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</row>
    <row r="8" spans="1:25" ht="120">
      <c r="A8" s="217">
        <v>7</v>
      </c>
      <c r="B8" s="218" t="s">
        <v>285</v>
      </c>
      <c r="C8" s="219" t="s">
        <v>286</v>
      </c>
      <c r="D8" s="218" t="s">
        <v>287</v>
      </c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</row>
    <row r="9" spans="1:25" ht="21" customHeight="1">
      <c r="A9" s="215"/>
      <c r="B9" s="220"/>
      <c r="C9" s="221"/>
      <c r="D9" s="222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</row>
    <row r="10" spans="1:25" ht="21" customHeight="1">
      <c r="A10" s="215"/>
      <c r="B10" s="220"/>
      <c r="C10" s="221"/>
      <c r="D10" s="222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25" ht="21" customHeight="1">
      <c r="A11" s="215"/>
      <c r="B11" s="220"/>
      <c r="C11" s="221"/>
      <c r="D11" s="222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</row>
    <row r="12" spans="1:25" ht="21" customHeight="1">
      <c r="A12" s="215"/>
      <c r="B12" s="220"/>
      <c r="C12" s="221"/>
      <c r="D12" s="222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</row>
    <row r="13" spans="1:25" ht="21" customHeight="1">
      <c r="A13" s="215"/>
      <c r="B13" s="220"/>
      <c r="C13" s="221"/>
      <c r="D13" s="222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</row>
    <row r="14" spans="1:25" ht="21" customHeight="1">
      <c r="A14" s="215"/>
      <c r="B14" s="220"/>
      <c r="C14" s="221"/>
      <c r="D14" s="222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</row>
    <row r="15" spans="1:25" ht="21" customHeight="1">
      <c r="A15" s="215"/>
      <c r="B15" s="220"/>
      <c r="C15" s="221"/>
      <c r="D15" s="222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</row>
    <row r="16" spans="1:25" ht="21" customHeight="1">
      <c r="A16" s="215"/>
      <c r="B16" s="220"/>
      <c r="C16" s="221"/>
      <c r="D16" s="222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</row>
    <row r="17" spans="1:25" ht="21" customHeight="1">
      <c r="A17" s="215"/>
      <c r="B17" s="220"/>
      <c r="C17" s="221"/>
      <c r="D17" s="222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</row>
    <row r="18" spans="1:25" ht="21" customHeight="1">
      <c r="A18" s="215"/>
      <c r="B18" s="220"/>
      <c r="C18" s="221"/>
      <c r="D18" s="222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</row>
    <row r="19" spans="1:25" ht="21" customHeight="1">
      <c r="A19" s="215"/>
      <c r="B19" s="220"/>
      <c r="C19" s="221"/>
      <c r="D19" s="222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</row>
    <row r="20" spans="1:25" ht="21" customHeight="1">
      <c r="A20" s="215"/>
      <c r="B20" s="220"/>
      <c r="C20" s="221"/>
      <c r="D20" s="222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</row>
    <row r="21" spans="1:25" ht="21" customHeight="1">
      <c r="A21" s="215"/>
      <c r="B21" s="220"/>
      <c r="C21" s="221"/>
      <c r="D21" s="222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</row>
    <row r="22" spans="1:25" ht="21" customHeight="1">
      <c r="A22" s="215"/>
      <c r="B22" s="220"/>
      <c r="C22" s="221"/>
      <c r="D22" s="222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</row>
    <row r="23" spans="1:25" ht="21" customHeight="1">
      <c r="A23" s="215"/>
      <c r="B23" s="220"/>
      <c r="C23" s="221"/>
      <c r="D23" s="222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</row>
    <row r="24" spans="1:25" ht="21" customHeight="1">
      <c r="A24" s="215"/>
      <c r="B24" s="220"/>
      <c r="C24" s="221"/>
      <c r="D24" s="222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</row>
    <row r="25" spans="1:25" ht="21" customHeight="1">
      <c r="A25" s="215"/>
      <c r="B25" s="220"/>
      <c r="C25" s="221"/>
      <c r="D25" s="222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</row>
    <row r="26" spans="1:25" ht="21" customHeight="1">
      <c r="A26" s="215"/>
      <c r="B26" s="220"/>
      <c r="C26" s="221"/>
      <c r="D26" s="222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</row>
    <row r="27" spans="1:25" ht="21" customHeight="1">
      <c r="A27" s="215"/>
      <c r="B27" s="220"/>
      <c r="C27" s="221"/>
      <c r="D27" s="222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</row>
    <row r="28" spans="1:25" ht="21" customHeight="1">
      <c r="A28" s="215"/>
      <c r="B28" s="220"/>
      <c r="C28" s="221"/>
      <c r="D28" s="222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</row>
    <row r="29" spans="1:25" ht="21" customHeight="1">
      <c r="A29" s="215"/>
      <c r="B29" s="220"/>
      <c r="C29" s="221"/>
      <c r="D29" s="222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</row>
    <row r="30" spans="1:25" ht="21" customHeight="1">
      <c r="A30" s="215"/>
      <c r="B30" s="220"/>
      <c r="C30" s="221"/>
      <c r="D30" s="222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</row>
    <row r="31" spans="1:25" ht="21" customHeight="1">
      <c r="A31" s="215"/>
      <c r="B31" s="220"/>
      <c r="C31" s="221"/>
      <c r="D31" s="222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</row>
    <row r="32" spans="1:25" ht="21" customHeight="1">
      <c r="A32" s="215"/>
      <c r="B32" s="220"/>
      <c r="C32" s="221"/>
      <c r="D32" s="222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</row>
    <row r="33" spans="1:25" ht="21" customHeight="1">
      <c r="A33" s="215"/>
      <c r="B33" s="220"/>
      <c r="C33" s="221"/>
      <c r="D33" s="222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</row>
    <row r="34" spans="1:25" ht="21" customHeight="1">
      <c r="A34" s="215"/>
      <c r="B34" s="220"/>
      <c r="C34" s="221"/>
      <c r="D34" s="222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</row>
    <row r="35" spans="1:25" ht="21" customHeight="1">
      <c r="A35" s="215"/>
      <c r="B35" s="220"/>
      <c r="C35" s="221"/>
      <c r="D35" s="222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</row>
    <row r="36" spans="1:25" ht="21" customHeight="1">
      <c r="A36" s="215"/>
      <c r="B36" s="220"/>
      <c r="C36" s="221"/>
      <c r="D36" s="222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</row>
    <row r="37" spans="1:25" ht="21" customHeight="1">
      <c r="A37" s="215"/>
      <c r="B37" s="220"/>
      <c r="C37" s="221"/>
      <c r="D37" s="222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</row>
    <row r="38" spans="1:25" ht="21" customHeight="1">
      <c r="A38" s="215"/>
      <c r="B38" s="220"/>
      <c r="C38" s="221"/>
      <c r="D38" s="222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</row>
    <row r="39" spans="1:25" ht="21" customHeight="1">
      <c r="A39" s="215"/>
      <c r="B39" s="220"/>
      <c r="C39" s="221"/>
      <c r="D39" s="222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</row>
    <row r="40" spans="1:25" ht="21" customHeight="1">
      <c r="A40" s="215"/>
      <c r="B40" s="220"/>
      <c r="C40" s="221"/>
      <c r="D40" s="222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</row>
    <row r="41" spans="1:25" ht="21" customHeight="1">
      <c r="A41" s="215"/>
      <c r="B41" s="220"/>
      <c r="C41" s="221"/>
      <c r="D41" s="222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</row>
    <row r="42" spans="1:25" ht="21" customHeight="1">
      <c r="A42" s="215"/>
      <c r="B42" s="220"/>
      <c r="C42" s="221"/>
      <c r="D42" s="222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</row>
    <row r="43" spans="1:25" ht="21" customHeight="1">
      <c r="A43" s="215"/>
      <c r="B43" s="220"/>
      <c r="C43" s="221"/>
      <c r="D43" s="222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</row>
    <row r="44" spans="1:25" ht="21" customHeight="1">
      <c r="A44" s="215"/>
      <c r="B44" s="220"/>
      <c r="C44" s="221"/>
      <c r="D44" s="222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</row>
    <row r="45" spans="1:25" ht="21" customHeight="1">
      <c r="A45" s="215"/>
      <c r="B45" s="220"/>
      <c r="C45" s="221"/>
      <c r="D45" s="222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</row>
    <row r="46" spans="1:25" ht="21" customHeight="1">
      <c r="A46" s="215"/>
      <c r="B46" s="220"/>
      <c r="C46" s="221"/>
      <c r="D46" s="222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</row>
    <row r="47" spans="1:25" ht="21" customHeight="1">
      <c r="A47" s="215"/>
      <c r="B47" s="220"/>
      <c r="C47" s="221"/>
      <c r="D47" s="222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</row>
    <row r="48" spans="1:25" ht="21" customHeight="1">
      <c r="A48" s="215"/>
      <c r="B48" s="220"/>
      <c r="C48" s="221"/>
      <c r="D48" s="222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</row>
    <row r="49" spans="1:25" ht="21" customHeight="1">
      <c r="A49" s="215"/>
      <c r="B49" s="220"/>
      <c r="C49" s="221"/>
      <c r="D49" s="222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</row>
    <row r="50" spans="1:25" ht="21" customHeight="1">
      <c r="A50" s="215"/>
      <c r="B50" s="220"/>
      <c r="C50" s="221"/>
      <c r="D50" s="222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</row>
    <row r="51" spans="1:25" ht="21" customHeight="1">
      <c r="A51" s="215"/>
      <c r="B51" s="220"/>
      <c r="C51" s="221"/>
      <c r="D51" s="222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</row>
    <row r="52" spans="1:25" ht="21" customHeight="1">
      <c r="A52" s="215"/>
      <c r="B52" s="220"/>
      <c r="C52" s="221"/>
      <c r="D52" s="222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</row>
    <row r="53" spans="1:25" ht="21" customHeight="1">
      <c r="A53" s="215"/>
      <c r="B53" s="220"/>
      <c r="C53" s="221"/>
      <c r="D53" s="222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</row>
    <row r="54" spans="1:25" ht="21" customHeight="1">
      <c r="A54" s="215"/>
      <c r="B54" s="220"/>
      <c r="C54" s="221"/>
      <c r="D54" s="222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</row>
    <row r="55" spans="1:25" ht="21" customHeight="1">
      <c r="A55" s="215"/>
      <c r="B55" s="220"/>
      <c r="C55" s="221"/>
      <c r="D55" s="222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</row>
    <row r="56" spans="1:25" ht="21" customHeight="1">
      <c r="A56" s="215"/>
      <c r="B56" s="220"/>
      <c r="C56" s="221"/>
      <c r="D56" s="222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</row>
    <row r="57" spans="1:25" ht="21" customHeight="1">
      <c r="A57" s="215"/>
      <c r="B57" s="220"/>
      <c r="C57" s="221"/>
      <c r="D57" s="222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</row>
    <row r="58" spans="1:25" ht="21" customHeight="1">
      <c r="A58" s="215"/>
      <c r="B58" s="220"/>
      <c r="C58" s="221"/>
      <c r="D58" s="222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</row>
    <row r="59" spans="1:25" ht="21" customHeight="1">
      <c r="A59" s="215"/>
      <c r="B59" s="220"/>
      <c r="C59" s="221"/>
      <c r="D59" s="222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5" ht="21" customHeight="1">
      <c r="A60" s="215"/>
      <c r="B60" s="220"/>
      <c r="C60" s="221"/>
      <c r="D60" s="222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</row>
    <row r="61" spans="1:25" ht="21" customHeight="1">
      <c r="A61" s="215"/>
      <c r="B61" s="220"/>
      <c r="C61" s="221"/>
      <c r="D61" s="222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</row>
    <row r="62" spans="1:25" ht="21" customHeight="1">
      <c r="A62" s="215"/>
      <c r="B62" s="220"/>
      <c r="C62" s="221"/>
      <c r="D62" s="222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</row>
    <row r="63" spans="1:25" ht="21" customHeight="1">
      <c r="A63" s="215"/>
      <c r="B63" s="220"/>
      <c r="C63" s="221"/>
      <c r="D63" s="222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</row>
    <row r="64" spans="1:25" ht="21" customHeight="1">
      <c r="A64" s="215"/>
      <c r="B64" s="220"/>
      <c r="C64" s="221"/>
      <c r="D64" s="222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</row>
    <row r="65" spans="1:25" ht="21" customHeight="1">
      <c r="A65" s="215"/>
      <c r="B65" s="220"/>
      <c r="C65" s="221"/>
      <c r="D65" s="222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</row>
    <row r="66" spans="1:25" ht="21" customHeight="1">
      <c r="A66" s="215"/>
      <c r="B66" s="220"/>
      <c r="C66" s="221"/>
      <c r="D66" s="222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</row>
    <row r="67" spans="1:25" ht="21" customHeight="1">
      <c r="A67" s="215"/>
      <c r="B67" s="220"/>
      <c r="C67" s="221"/>
      <c r="D67" s="222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</row>
    <row r="68" spans="1:25" ht="21" customHeight="1">
      <c r="A68" s="215"/>
      <c r="B68" s="220"/>
      <c r="C68" s="221"/>
      <c r="D68" s="222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</row>
    <row r="69" spans="1:25" ht="21" customHeight="1">
      <c r="A69" s="215"/>
      <c r="B69" s="220"/>
      <c r="C69" s="221"/>
      <c r="D69" s="222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</row>
    <row r="70" spans="1:25" ht="21" customHeight="1">
      <c r="A70" s="215"/>
      <c r="B70" s="220"/>
      <c r="C70" s="221"/>
      <c r="D70" s="222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</row>
    <row r="71" spans="1:25" ht="21" customHeight="1">
      <c r="A71" s="215"/>
      <c r="B71" s="220"/>
      <c r="C71" s="221"/>
      <c r="D71" s="222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</row>
    <row r="72" spans="1:25" ht="21" customHeight="1">
      <c r="A72" s="215"/>
      <c r="B72" s="220"/>
      <c r="C72" s="221"/>
      <c r="D72" s="222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</row>
    <row r="73" spans="1:25" ht="21" customHeight="1">
      <c r="A73" s="215"/>
      <c r="B73" s="220"/>
      <c r="C73" s="221"/>
      <c r="D73" s="222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</row>
    <row r="74" spans="1:25" ht="21" customHeight="1">
      <c r="A74" s="215"/>
      <c r="B74" s="220"/>
      <c r="C74" s="221"/>
      <c r="D74" s="222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</row>
    <row r="75" spans="1:25" ht="21" customHeight="1">
      <c r="A75" s="215"/>
      <c r="B75" s="220"/>
      <c r="C75" s="221"/>
      <c r="D75" s="222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</row>
    <row r="76" spans="1:25" ht="21" customHeight="1">
      <c r="A76" s="215"/>
      <c r="B76" s="220"/>
      <c r="C76" s="221"/>
      <c r="D76" s="222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</row>
    <row r="77" spans="1:25" ht="21" customHeight="1">
      <c r="A77" s="215"/>
      <c r="B77" s="220"/>
      <c r="C77" s="221"/>
      <c r="D77" s="222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</row>
    <row r="78" spans="1:25" ht="21" customHeight="1">
      <c r="A78" s="215"/>
      <c r="B78" s="220"/>
      <c r="C78" s="221"/>
      <c r="D78" s="222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</row>
    <row r="79" spans="1:25" ht="21" customHeight="1">
      <c r="A79" s="215"/>
      <c r="B79" s="220"/>
      <c r="C79" s="221"/>
      <c r="D79" s="222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</row>
    <row r="80" spans="1:25" ht="21" customHeight="1">
      <c r="A80" s="215"/>
      <c r="B80" s="220"/>
      <c r="C80" s="221"/>
      <c r="D80" s="222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</row>
    <row r="81" spans="1:25" ht="21" customHeight="1">
      <c r="A81" s="215"/>
      <c r="B81" s="220"/>
      <c r="C81" s="221"/>
      <c r="D81" s="222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</row>
    <row r="82" spans="1:25" ht="21" customHeight="1">
      <c r="A82" s="215"/>
      <c r="B82" s="220"/>
      <c r="C82" s="221"/>
      <c r="D82" s="222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</row>
    <row r="83" spans="1:25" ht="21" customHeight="1">
      <c r="A83" s="215"/>
      <c r="B83" s="220"/>
      <c r="C83" s="221"/>
      <c r="D83" s="222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</row>
    <row r="84" spans="1:25" ht="21" customHeight="1">
      <c r="A84" s="215"/>
      <c r="B84" s="220"/>
      <c r="C84" s="221"/>
      <c r="D84" s="222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</row>
    <row r="85" spans="1:25" ht="21" customHeight="1">
      <c r="A85" s="215"/>
      <c r="B85" s="220"/>
      <c r="C85" s="221"/>
      <c r="D85" s="222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</row>
    <row r="86" spans="1:25" ht="21" customHeight="1">
      <c r="A86" s="215"/>
      <c r="B86" s="220"/>
      <c r="C86" s="221"/>
      <c r="D86" s="222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</row>
    <row r="87" spans="1:25" ht="21" customHeight="1">
      <c r="A87" s="215"/>
      <c r="B87" s="220"/>
      <c r="C87" s="221"/>
      <c r="D87" s="222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</row>
    <row r="88" spans="1:25" ht="21" customHeight="1">
      <c r="A88" s="215"/>
      <c r="B88" s="220"/>
      <c r="C88" s="221"/>
      <c r="D88" s="222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</row>
    <row r="89" spans="1:25" ht="21" customHeight="1">
      <c r="A89" s="215"/>
      <c r="B89" s="220"/>
      <c r="C89" s="221"/>
      <c r="D89" s="222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</row>
    <row r="90" spans="1:25" ht="21" customHeight="1">
      <c r="A90" s="215"/>
      <c r="B90" s="220"/>
      <c r="C90" s="221"/>
      <c r="D90" s="222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</row>
    <row r="91" spans="1:25" ht="21" customHeight="1">
      <c r="A91" s="215"/>
      <c r="B91" s="220"/>
      <c r="C91" s="221"/>
      <c r="D91" s="222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</row>
    <row r="92" spans="1:25" ht="21" customHeight="1">
      <c r="A92" s="215"/>
      <c r="B92" s="220"/>
      <c r="C92" s="221"/>
      <c r="D92" s="222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</row>
    <row r="93" spans="1:25" ht="21" customHeight="1">
      <c r="A93" s="215"/>
      <c r="B93" s="220"/>
      <c r="C93" s="221"/>
      <c r="D93" s="222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</row>
    <row r="94" spans="1:25" ht="21" customHeight="1">
      <c r="A94" s="215"/>
      <c r="B94" s="220"/>
      <c r="C94" s="221"/>
      <c r="D94" s="222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</row>
    <row r="95" spans="1:25" ht="21" customHeight="1">
      <c r="A95" s="215"/>
      <c r="B95" s="220"/>
      <c r="C95" s="221"/>
      <c r="D95" s="222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</row>
    <row r="96" spans="1:25" ht="21" customHeight="1">
      <c r="A96" s="215"/>
      <c r="B96" s="220"/>
      <c r="C96" s="221"/>
      <c r="D96" s="222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</row>
    <row r="97" spans="1:25" ht="21" customHeight="1">
      <c r="A97" s="215"/>
      <c r="B97" s="220"/>
      <c r="C97" s="221"/>
      <c r="D97" s="222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</row>
    <row r="98" spans="1:25" ht="21" customHeight="1">
      <c r="A98" s="215"/>
      <c r="B98" s="220"/>
      <c r="C98" s="221"/>
      <c r="D98" s="222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</row>
    <row r="99" spans="1:25" ht="21" customHeight="1">
      <c r="A99" s="215"/>
      <c r="B99" s="220"/>
      <c r="C99" s="221"/>
      <c r="D99" s="222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</row>
    <row r="100" spans="1:25" ht="21" customHeight="1">
      <c r="A100" s="215"/>
      <c r="B100" s="220"/>
      <c r="C100" s="221"/>
      <c r="D100" s="222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</row>
    <row r="101" spans="1:25" ht="21" customHeight="1">
      <c r="A101" s="215"/>
      <c r="B101" s="220"/>
      <c r="C101" s="221"/>
      <c r="D101" s="222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</row>
    <row r="102" spans="1:25" ht="21" customHeight="1">
      <c r="A102" s="215"/>
      <c r="B102" s="220"/>
      <c r="C102" s="221"/>
      <c r="D102" s="222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</row>
    <row r="103" spans="1:25" ht="21" customHeight="1">
      <c r="A103" s="215"/>
      <c r="B103" s="220"/>
      <c r="C103" s="221"/>
      <c r="D103" s="222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</row>
    <row r="104" spans="1:25" ht="21" customHeight="1">
      <c r="A104" s="215"/>
      <c r="B104" s="220"/>
      <c r="C104" s="221"/>
      <c r="D104" s="222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</row>
    <row r="105" spans="1:25" ht="21" customHeight="1">
      <c r="A105" s="215"/>
      <c r="B105" s="220"/>
      <c r="C105" s="221"/>
      <c r="D105" s="222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</row>
    <row r="106" spans="1:25" ht="21" customHeight="1">
      <c r="A106" s="215"/>
      <c r="B106" s="220"/>
      <c r="C106" s="221"/>
      <c r="D106" s="222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</row>
    <row r="107" spans="1:25" ht="21" customHeight="1">
      <c r="A107" s="215"/>
      <c r="B107" s="220"/>
      <c r="C107" s="221"/>
      <c r="D107" s="222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</row>
    <row r="108" spans="1:25" ht="21" customHeight="1">
      <c r="A108" s="215"/>
      <c r="B108" s="220"/>
      <c r="C108" s="221"/>
      <c r="D108" s="222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</row>
    <row r="109" spans="1:25" ht="21" customHeight="1">
      <c r="A109" s="215"/>
      <c r="B109" s="220"/>
      <c r="C109" s="221"/>
      <c r="D109" s="222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</row>
    <row r="110" spans="1:25" ht="21" customHeight="1">
      <c r="A110" s="215"/>
      <c r="B110" s="220"/>
      <c r="C110" s="221"/>
      <c r="D110" s="222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</row>
    <row r="111" spans="1:25" ht="21" customHeight="1">
      <c r="A111" s="215"/>
      <c r="B111" s="220"/>
      <c r="C111" s="221"/>
      <c r="D111" s="222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</row>
    <row r="112" spans="1:25" ht="21" customHeight="1">
      <c r="A112" s="215"/>
      <c r="B112" s="220"/>
      <c r="C112" s="221"/>
      <c r="D112" s="222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</row>
    <row r="113" spans="1:25" ht="21" customHeight="1">
      <c r="A113" s="215"/>
      <c r="B113" s="220"/>
      <c r="C113" s="221"/>
      <c r="D113" s="222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</row>
    <row r="114" spans="1:25" ht="21" customHeight="1">
      <c r="A114" s="215"/>
      <c r="B114" s="220"/>
      <c r="C114" s="221"/>
      <c r="D114" s="222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</row>
    <row r="115" spans="1:25" ht="21" customHeight="1">
      <c r="A115" s="215"/>
      <c r="B115" s="220"/>
      <c r="C115" s="221"/>
      <c r="D115" s="222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</row>
    <row r="116" spans="1:25" ht="21" customHeight="1">
      <c r="A116" s="215"/>
      <c r="B116" s="220"/>
      <c r="C116" s="221"/>
      <c r="D116" s="222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</row>
    <row r="117" spans="1:25" ht="21" customHeight="1">
      <c r="A117" s="215"/>
      <c r="B117" s="220"/>
      <c r="C117" s="221"/>
      <c r="D117" s="222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</row>
    <row r="118" spans="1:25" ht="21" customHeight="1">
      <c r="A118" s="215"/>
      <c r="B118" s="220"/>
      <c r="C118" s="221"/>
      <c r="D118" s="222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</row>
    <row r="119" spans="1:25" ht="21" customHeight="1">
      <c r="A119" s="215"/>
      <c r="B119" s="220"/>
      <c r="C119" s="221"/>
      <c r="D119" s="222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</row>
    <row r="120" spans="1:25" ht="21" customHeight="1">
      <c r="A120" s="215"/>
      <c r="B120" s="220"/>
      <c r="C120" s="221"/>
      <c r="D120" s="222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</row>
    <row r="121" spans="1:25" ht="21" customHeight="1">
      <c r="A121" s="215"/>
      <c r="B121" s="220"/>
      <c r="C121" s="221"/>
      <c r="D121" s="222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</row>
    <row r="122" spans="1:25" ht="21" customHeight="1">
      <c r="A122" s="215"/>
      <c r="B122" s="220"/>
      <c r="C122" s="221"/>
      <c r="D122" s="222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</row>
    <row r="123" spans="1:25" ht="21" customHeight="1">
      <c r="A123" s="215"/>
      <c r="B123" s="220"/>
      <c r="C123" s="221"/>
      <c r="D123" s="222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</row>
    <row r="124" spans="1:25" ht="21" customHeight="1">
      <c r="A124" s="215"/>
      <c r="B124" s="220"/>
      <c r="C124" s="221"/>
      <c r="D124" s="222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</row>
    <row r="125" spans="1:25" ht="21" customHeight="1">
      <c r="A125" s="215"/>
      <c r="B125" s="220"/>
      <c r="C125" s="221"/>
      <c r="D125" s="222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</row>
    <row r="126" spans="1:25" ht="21" customHeight="1">
      <c r="A126" s="215"/>
      <c r="B126" s="220"/>
      <c r="C126" s="221"/>
      <c r="D126" s="222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</row>
    <row r="127" spans="1:25" ht="21" customHeight="1">
      <c r="A127" s="215"/>
      <c r="B127" s="220"/>
      <c r="C127" s="221"/>
      <c r="D127" s="222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</row>
    <row r="128" spans="1:25" ht="21" customHeight="1">
      <c r="A128" s="215"/>
      <c r="B128" s="220"/>
      <c r="C128" s="221"/>
      <c r="D128" s="222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</row>
    <row r="129" spans="1:25" ht="21" customHeight="1">
      <c r="A129" s="215"/>
      <c r="B129" s="220"/>
      <c r="C129" s="221"/>
      <c r="D129" s="222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</row>
    <row r="130" spans="1:25" ht="21" customHeight="1">
      <c r="A130" s="215"/>
      <c r="B130" s="220"/>
      <c r="C130" s="221"/>
      <c r="D130" s="222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</row>
    <row r="131" spans="1:25" ht="21" customHeight="1">
      <c r="A131" s="215"/>
      <c r="B131" s="220"/>
      <c r="C131" s="221"/>
      <c r="D131" s="222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</row>
    <row r="132" spans="1:25" ht="21" customHeight="1">
      <c r="A132" s="215"/>
      <c r="B132" s="220"/>
      <c r="C132" s="221"/>
      <c r="D132" s="222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</row>
    <row r="133" spans="1:25" ht="21" customHeight="1">
      <c r="A133" s="215"/>
      <c r="B133" s="220"/>
      <c r="C133" s="221"/>
      <c r="D133" s="222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</row>
    <row r="134" spans="1:25" ht="21" customHeight="1">
      <c r="A134" s="215"/>
      <c r="B134" s="220"/>
      <c r="C134" s="221"/>
      <c r="D134" s="222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</row>
    <row r="135" spans="1:25" ht="21" customHeight="1">
      <c r="A135" s="215"/>
      <c r="B135" s="220"/>
      <c r="C135" s="221"/>
      <c r="D135" s="222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</row>
    <row r="136" spans="1:25" ht="21" customHeight="1">
      <c r="A136" s="215"/>
      <c r="B136" s="220"/>
      <c r="C136" s="221"/>
      <c r="D136" s="222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</row>
    <row r="137" spans="1:25" ht="21" customHeight="1">
      <c r="A137" s="215"/>
      <c r="B137" s="220"/>
      <c r="C137" s="221"/>
      <c r="D137" s="222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</row>
    <row r="138" spans="1:25" ht="21" customHeight="1">
      <c r="A138" s="215"/>
      <c r="B138" s="220"/>
      <c r="C138" s="221"/>
      <c r="D138" s="222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</row>
    <row r="139" spans="1:25" ht="21" customHeight="1">
      <c r="A139" s="215"/>
      <c r="B139" s="220"/>
      <c r="C139" s="221"/>
      <c r="D139" s="222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</row>
    <row r="140" spans="1:25" ht="21" customHeight="1">
      <c r="A140" s="215"/>
      <c r="B140" s="220"/>
      <c r="C140" s="221"/>
      <c r="D140" s="222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</row>
    <row r="141" spans="1:25" ht="21" customHeight="1">
      <c r="A141" s="215"/>
      <c r="B141" s="220"/>
      <c r="C141" s="221"/>
      <c r="D141" s="222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</row>
    <row r="142" spans="1:25" ht="21" customHeight="1">
      <c r="A142" s="215"/>
      <c r="B142" s="220"/>
      <c r="C142" s="221"/>
      <c r="D142" s="222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</row>
    <row r="143" spans="1:25" ht="21" customHeight="1">
      <c r="A143" s="215"/>
      <c r="B143" s="220"/>
      <c r="C143" s="221"/>
      <c r="D143" s="222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</row>
    <row r="144" spans="1:25" ht="21" customHeight="1">
      <c r="A144" s="215"/>
      <c r="B144" s="220"/>
      <c r="C144" s="221"/>
      <c r="D144" s="222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</row>
    <row r="145" spans="1:25" ht="21" customHeight="1">
      <c r="A145" s="215"/>
      <c r="B145" s="220"/>
      <c r="C145" s="221"/>
      <c r="D145" s="222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</row>
    <row r="146" spans="1:25" ht="21" customHeight="1">
      <c r="A146" s="215"/>
      <c r="B146" s="220"/>
      <c r="C146" s="221"/>
      <c r="D146" s="222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</row>
    <row r="147" spans="1:25" ht="21" customHeight="1">
      <c r="A147" s="215"/>
      <c r="B147" s="220"/>
      <c r="C147" s="221"/>
      <c r="D147" s="222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</row>
    <row r="148" spans="1:25" ht="21" customHeight="1">
      <c r="A148" s="215"/>
      <c r="B148" s="220"/>
      <c r="C148" s="221"/>
      <c r="D148" s="222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</row>
    <row r="149" spans="1:25" ht="21" customHeight="1">
      <c r="A149" s="215"/>
      <c r="B149" s="220"/>
      <c r="C149" s="221"/>
      <c r="D149" s="222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</row>
    <row r="150" spans="1:25" ht="21" customHeight="1">
      <c r="A150" s="215"/>
      <c r="B150" s="220"/>
      <c r="C150" s="221"/>
      <c r="D150" s="222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</row>
    <row r="151" spans="1:25" ht="21" customHeight="1">
      <c r="A151" s="215"/>
      <c r="B151" s="220"/>
      <c r="C151" s="221"/>
      <c r="D151" s="222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</row>
    <row r="152" spans="1:25" ht="21" customHeight="1">
      <c r="A152" s="215"/>
      <c r="B152" s="220"/>
      <c r="C152" s="221"/>
      <c r="D152" s="222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</row>
    <row r="153" spans="1:25" ht="21" customHeight="1">
      <c r="A153" s="215"/>
      <c r="B153" s="220"/>
      <c r="C153" s="221"/>
      <c r="D153" s="222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</row>
    <row r="154" spans="1:25" ht="21" customHeight="1">
      <c r="A154" s="215"/>
      <c r="B154" s="220"/>
      <c r="C154" s="221"/>
      <c r="D154" s="222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</row>
    <row r="155" spans="1:25" ht="21" customHeight="1">
      <c r="A155" s="215"/>
      <c r="B155" s="220"/>
      <c r="C155" s="221"/>
      <c r="D155" s="222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</row>
    <row r="156" spans="1:25" ht="21" customHeight="1">
      <c r="A156" s="215"/>
      <c r="B156" s="220"/>
      <c r="C156" s="221"/>
      <c r="D156" s="222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</row>
    <row r="157" spans="1:25" ht="21" customHeight="1">
      <c r="A157" s="215"/>
      <c r="B157" s="220"/>
      <c r="C157" s="221"/>
      <c r="D157" s="222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</row>
    <row r="158" spans="1:25" ht="21" customHeight="1">
      <c r="A158" s="215"/>
      <c r="B158" s="220"/>
      <c r="C158" s="221"/>
      <c r="D158" s="222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</row>
    <row r="159" spans="1:25" ht="21" customHeight="1">
      <c r="A159" s="215"/>
      <c r="B159" s="220"/>
      <c r="C159" s="221"/>
      <c r="D159" s="222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</row>
    <row r="160" spans="1:25" ht="21" customHeight="1">
      <c r="A160" s="215"/>
      <c r="B160" s="220"/>
      <c r="C160" s="221"/>
      <c r="D160" s="222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</row>
    <row r="161" spans="1:25" ht="21" customHeight="1">
      <c r="A161" s="215"/>
      <c r="B161" s="220"/>
      <c r="C161" s="221"/>
      <c r="D161" s="222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</row>
    <row r="162" spans="1:25" ht="21" customHeight="1">
      <c r="A162" s="215"/>
      <c r="B162" s="220"/>
      <c r="C162" s="221"/>
      <c r="D162" s="222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</row>
    <row r="163" spans="1:25" ht="21" customHeight="1">
      <c r="A163" s="215"/>
      <c r="B163" s="220"/>
      <c r="C163" s="221"/>
      <c r="D163" s="222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</row>
    <row r="164" spans="1:25" ht="21" customHeight="1">
      <c r="A164" s="215"/>
      <c r="B164" s="220"/>
      <c r="C164" s="221"/>
      <c r="D164" s="222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</row>
    <row r="165" spans="1:25" ht="21" customHeight="1">
      <c r="A165" s="215"/>
      <c r="B165" s="220"/>
      <c r="C165" s="221"/>
      <c r="D165" s="222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</row>
    <row r="166" spans="1:25" ht="21" customHeight="1">
      <c r="A166" s="215"/>
      <c r="B166" s="220"/>
      <c r="C166" s="221"/>
      <c r="D166" s="222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</row>
    <row r="167" spans="1:25" ht="21" customHeight="1">
      <c r="A167" s="215"/>
      <c r="B167" s="220"/>
      <c r="C167" s="221"/>
      <c r="D167" s="222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</row>
    <row r="168" spans="1:25" ht="21" customHeight="1">
      <c r="A168" s="215"/>
      <c r="B168" s="220"/>
      <c r="C168" s="221"/>
      <c r="D168" s="222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</row>
    <row r="169" spans="1:25" ht="21" customHeight="1">
      <c r="A169" s="215"/>
      <c r="B169" s="220"/>
      <c r="C169" s="221"/>
      <c r="D169" s="222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</row>
    <row r="170" spans="1:25" ht="21" customHeight="1">
      <c r="A170" s="215"/>
      <c r="B170" s="220"/>
      <c r="C170" s="221"/>
      <c r="D170" s="222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</row>
    <row r="171" spans="1:25" ht="21" customHeight="1">
      <c r="A171" s="215"/>
      <c r="B171" s="220"/>
      <c r="C171" s="221"/>
      <c r="D171" s="222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</row>
    <row r="172" spans="1:25" ht="21" customHeight="1">
      <c r="A172" s="215"/>
      <c r="B172" s="220"/>
      <c r="C172" s="221"/>
      <c r="D172" s="222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</row>
    <row r="173" spans="1:25" ht="21" customHeight="1">
      <c r="A173" s="215"/>
      <c r="B173" s="220"/>
      <c r="C173" s="221"/>
      <c r="D173" s="222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</row>
    <row r="174" spans="1:25" ht="21" customHeight="1">
      <c r="A174" s="215"/>
      <c r="B174" s="220"/>
      <c r="C174" s="221"/>
      <c r="D174" s="222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</row>
    <row r="175" spans="1:25" ht="21" customHeight="1">
      <c r="A175" s="215"/>
      <c r="B175" s="220"/>
      <c r="C175" s="221"/>
      <c r="D175" s="222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</row>
    <row r="176" spans="1:25" ht="21" customHeight="1">
      <c r="A176" s="215"/>
      <c r="B176" s="220"/>
      <c r="C176" s="221"/>
      <c r="D176" s="222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</row>
    <row r="177" spans="1:25" ht="21" customHeight="1">
      <c r="A177" s="215"/>
      <c r="B177" s="220"/>
      <c r="C177" s="221"/>
      <c r="D177" s="222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</row>
    <row r="178" spans="1:25" ht="21" customHeight="1">
      <c r="A178" s="215"/>
      <c r="B178" s="220"/>
      <c r="C178" s="221"/>
      <c r="D178" s="222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</row>
    <row r="179" spans="1:25" ht="21" customHeight="1">
      <c r="A179" s="215"/>
      <c r="B179" s="220"/>
      <c r="C179" s="221"/>
      <c r="D179" s="222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</row>
    <row r="180" spans="1:25" ht="21" customHeight="1">
      <c r="A180" s="215"/>
      <c r="B180" s="220"/>
      <c r="C180" s="221"/>
      <c r="D180" s="222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</row>
    <row r="181" spans="1:25" ht="21" customHeight="1">
      <c r="A181" s="215"/>
      <c r="B181" s="220"/>
      <c r="C181" s="221"/>
      <c r="D181" s="222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</row>
    <row r="182" spans="1:25" ht="21" customHeight="1">
      <c r="A182" s="215"/>
      <c r="B182" s="220"/>
      <c r="C182" s="221"/>
      <c r="D182" s="222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</row>
    <row r="183" spans="1:25" ht="21" customHeight="1">
      <c r="A183" s="215"/>
      <c r="B183" s="220"/>
      <c r="C183" s="221"/>
      <c r="D183" s="222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</row>
    <row r="184" spans="1:25" ht="21" customHeight="1">
      <c r="A184" s="215"/>
      <c r="B184" s="220"/>
      <c r="C184" s="221"/>
      <c r="D184" s="222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</row>
    <row r="185" spans="1:25" ht="21" customHeight="1">
      <c r="A185" s="215"/>
      <c r="B185" s="220"/>
      <c r="C185" s="221"/>
      <c r="D185" s="222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</row>
    <row r="186" spans="1:25" ht="21" customHeight="1">
      <c r="A186" s="215"/>
      <c r="B186" s="220"/>
      <c r="C186" s="221"/>
      <c r="D186" s="222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</row>
    <row r="187" spans="1:25" ht="21" customHeight="1">
      <c r="A187" s="215"/>
      <c r="B187" s="220"/>
      <c r="C187" s="221"/>
      <c r="D187" s="222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</row>
    <row r="188" spans="1:25" ht="21" customHeight="1">
      <c r="A188" s="215"/>
      <c r="B188" s="220"/>
      <c r="C188" s="221"/>
      <c r="D188" s="222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</row>
    <row r="189" spans="1:25" ht="21" customHeight="1">
      <c r="A189" s="215"/>
      <c r="B189" s="220"/>
      <c r="C189" s="221"/>
      <c r="D189" s="222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</row>
    <row r="190" spans="1:25" ht="21" customHeight="1">
      <c r="A190" s="215"/>
      <c r="B190" s="220"/>
      <c r="C190" s="221"/>
      <c r="D190" s="222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</row>
    <row r="191" spans="1:25" ht="21" customHeight="1">
      <c r="A191" s="215"/>
      <c r="B191" s="220"/>
      <c r="C191" s="221"/>
      <c r="D191" s="222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</row>
    <row r="192" spans="1:25" ht="21" customHeight="1">
      <c r="A192" s="215"/>
      <c r="B192" s="220"/>
      <c r="C192" s="221"/>
      <c r="D192" s="222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</row>
    <row r="193" spans="1:25" ht="21" customHeight="1">
      <c r="A193" s="215"/>
      <c r="B193" s="220"/>
      <c r="C193" s="221"/>
      <c r="D193" s="222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</row>
    <row r="194" spans="1:25" ht="21" customHeight="1">
      <c r="A194" s="215"/>
      <c r="B194" s="220"/>
      <c r="C194" s="221"/>
      <c r="D194" s="222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</row>
    <row r="195" spans="1:25" ht="21" customHeight="1">
      <c r="A195" s="215"/>
      <c r="B195" s="220"/>
      <c r="C195" s="221"/>
      <c r="D195" s="222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</row>
    <row r="196" spans="1:25" ht="21" customHeight="1">
      <c r="A196" s="215"/>
      <c r="B196" s="220"/>
      <c r="C196" s="221"/>
      <c r="D196" s="222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</row>
    <row r="197" spans="1:25" ht="21" customHeight="1">
      <c r="A197" s="215"/>
      <c r="B197" s="220"/>
      <c r="C197" s="221"/>
      <c r="D197" s="222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</row>
    <row r="198" spans="1:25" ht="21" customHeight="1">
      <c r="A198" s="215"/>
      <c r="B198" s="220"/>
      <c r="C198" s="221"/>
      <c r="D198" s="222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</row>
    <row r="199" spans="1:25" ht="21" customHeight="1">
      <c r="A199" s="215"/>
      <c r="B199" s="220"/>
      <c r="C199" s="221"/>
      <c r="D199" s="222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</row>
    <row r="200" spans="1:25" ht="21" customHeight="1">
      <c r="A200" s="215"/>
      <c r="B200" s="220"/>
      <c r="C200" s="221"/>
      <c r="D200" s="222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</row>
    <row r="201" spans="1:25" ht="21" customHeight="1">
      <c r="A201" s="215"/>
      <c r="B201" s="220"/>
      <c r="C201" s="221"/>
      <c r="D201" s="222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</row>
    <row r="202" spans="1:25" ht="21" customHeight="1">
      <c r="A202" s="215"/>
      <c r="B202" s="220"/>
      <c r="C202" s="221"/>
      <c r="D202" s="222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</row>
    <row r="203" spans="1:25" ht="21" customHeight="1">
      <c r="A203" s="215"/>
      <c r="B203" s="220"/>
      <c r="C203" s="221"/>
      <c r="D203" s="222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</row>
    <row r="204" spans="1:25" ht="21" customHeight="1">
      <c r="A204" s="215"/>
      <c r="B204" s="220"/>
      <c r="C204" s="221"/>
      <c r="D204" s="222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</row>
    <row r="205" spans="1:25" ht="21" customHeight="1">
      <c r="A205" s="215"/>
      <c r="B205" s="220"/>
      <c r="C205" s="221"/>
      <c r="D205" s="222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</row>
    <row r="206" spans="1:25" ht="21" customHeight="1">
      <c r="A206" s="215"/>
      <c r="B206" s="220"/>
      <c r="C206" s="221"/>
      <c r="D206" s="222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</row>
    <row r="207" spans="1:25" ht="21" customHeight="1">
      <c r="A207" s="215"/>
      <c r="B207" s="220"/>
      <c r="C207" s="221"/>
      <c r="D207" s="222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</row>
    <row r="208" spans="1:25" ht="21" customHeight="1">
      <c r="A208" s="215"/>
      <c r="B208" s="220"/>
      <c r="C208" s="221"/>
      <c r="D208" s="222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</row>
    <row r="209" spans="1:25" ht="21" customHeight="1">
      <c r="A209" s="215"/>
      <c r="B209" s="220"/>
      <c r="C209" s="223"/>
      <c r="D209" s="220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</row>
    <row r="210" spans="1:25" ht="21" customHeight="1">
      <c r="A210" s="215"/>
      <c r="B210" s="220"/>
      <c r="C210" s="223"/>
      <c r="D210" s="220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</row>
    <row r="211" spans="1:25" ht="21" customHeight="1">
      <c r="A211" s="215"/>
      <c r="B211" s="220"/>
      <c r="C211" s="223"/>
      <c r="D211" s="220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</row>
    <row r="212" spans="1:25" ht="21" customHeight="1">
      <c r="A212" s="215"/>
      <c r="B212" s="220"/>
      <c r="C212" s="223"/>
      <c r="D212" s="220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</row>
    <row r="213" spans="1:25" ht="21" customHeight="1">
      <c r="A213" s="215"/>
      <c r="B213" s="220"/>
      <c r="C213" s="223"/>
      <c r="D213" s="220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</row>
    <row r="214" spans="1:25" ht="21" customHeight="1">
      <c r="A214" s="215"/>
      <c r="B214" s="220"/>
      <c r="C214" s="223"/>
      <c r="D214" s="220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</row>
    <row r="215" spans="1:25" ht="21" customHeight="1">
      <c r="A215" s="215"/>
      <c r="B215" s="220"/>
      <c r="C215" s="223"/>
      <c r="D215" s="220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</row>
    <row r="216" spans="1:25" ht="21" customHeight="1">
      <c r="A216" s="215"/>
      <c r="B216" s="220"/>
      <c r="C216" s="223"/>
      <c r="D216" s="220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</row>
    <row r="217" spans="1:25" ht="21" customHeight="1">
      <c r="A217" s="215"/>
      <c r="B217" s="220"/>
      <c r="C217" s="223"/>
      <c r="D217" s="220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</row>
    <row r="218" spans="1:25" ht="21" customHeight="1">
      <c r="A218" s="215"/>
      <c r="B218" s="220"/>
      <c r="C218" s="223"/>
      <c r="D218" s="220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</row>
    <row r="219" spans="1:25" ht="21" customHeight="1">
      <c r="A219" s="215"/>
      <c r="B219" s="220"/>
      <c r="C219" s="223"/>
      <c r="D219" s="220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</row>
    <row r="220" spans="1:25" ht="21" customHeight="1">
      <c r="A220" s="215"/>
      <c r="B220" s="220"/>
      <c r="C220" s="223"/>
      <c r="D220" s="220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</row>
    <row r="221" spans="1:25" ht="21" customHeight="1">
      <c r="A221" s="215"/>
      <c r="B221" s="220"/>
      <c r="C221" s="223"/>
      <c r="D221" s="220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</row>
    <row r="222" spans="1:25" ht="21" customHeight="1">
      <c r="A222" s="215"/>
      <c r="B222" s="220"/>
      <c r="C222" s="223"/>
      <c r="D222" s="220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</row>
    <row r="223" spans="1:25" ht="21" customHeight="1">
      <c r="A223" s="215"/>
      <c r="B223" s="220"/>
      <c r="C223" s="223"/>
      <c r="D223" s="220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</row>
    <row r="224" spans="1:25" ht="21" customHeight="1">
      <c r="A224" s="215"/>
      <c r="B224" s="220"/>
      <c r="C224" s="223"/>
      <c r="D224" s="220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</row>
    <row r="225" spans="1:25" ht="21" customHeight="1">
      <c r="A225" s="215"/>
      <c r="B225" s="220"/>
      <c r="C225" s="223"/>
      <c r="D225" s="220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</row>
    <row r="226" spans="1:25" ht="21" customHeight="1">
      <c r="A226" s="215"/>
      <c r="B226" s="220"/>
      <c r="C226" s="223"/>
      <c r="D226" s="220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</row>
    <row r="227" spans="1:25" ht="21" customHeight="1">
      <c r="A227" s="215"/>
      <c r="B227" s="220"/>
      <c r="C227" s="223"/>
      <c r="D227" s="220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</row>
    <row r="228" spans="1:25" ht="21" customHeight="1">
      <c r="A228" s="215"/>
      <c r="B228" s="220"/>
      <c r="C228" s="223"/>
      <c r="D228" s="220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</row>
    <row r="229" spans="1:25" ht="21" customHeight="1">
      <c r="A229" s="215"/>
      <c r="B229" s="220"/>
      <c r="C229" s="223"/>
      <c r="D229" s="220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</row>
    <row r="230" spans="1:25" ht="21" customHeight="1">
      <c r="A230" s="215"/>
      <c r="B230" s="220"/>
      <c r="C230" s="223"/>
      <c r="D230" s="220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</row>
    <row r="231" spans="1:25" ht="21" customHeight="1">
      <c r="A231" s="215"/>
      <c r="B231" s="220"/>
      <c r="C231" s="223"/>
      <c r="D231" s="220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</row>
    <row r="232" spans="1:25" ht="21" customHeight="1">
      <c r="A232" s="215"/>
      <c r="B232" s="220"/>
      <c r="C232" s="223"/>
      <c r="D232" s="220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</row>
    <row r="233" spans="1:25" ht="21" customHeight="1">
      <c r="A233" s="215"/>
      <c r="B233" s="220"/>
      <c r="C233" s="223"/>
      <c r="D233" s="220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</row>
    <row r="234" spans="1:25" ht="21" customHeight="1">
      <c r="A234" s="215"/>
      <c r="B234" s="220"/>
      <c r="C234" s="223"/>
      <c r="D234" s="220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</row>
    <row r="235" spans="1:25" ht="21" customHeight="1">
      <c r="A235" s="215"/>
      <c r="B235" s="220"/>
      <c r="C235" s="223"/>
      <c r="D235" s="220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</row>
    <row r="236" spans="1:25" ht="21" customHeight="1">
      <c r="A236" s="215"/>
      <c r="B236" s="220"/>
      <c r="C236" s="223"/>
      <c r="D236" s="220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</row>
    <row r="237" spans="1:25" ht="21" customHeight="1">
      <c r="A237" s="215"/>
      <c r="B237" s="220"/>
      <c r="C237" s="223"/>
      <c r="D237" s="220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</row>
    <row r="238" spans="1:25" ht="21" customHeight="1">
      <c r="A238" s="215"/>
      <c r="B238" s="220"/>
      <c r="C238" s="223"/>
      <c r="D238" s="220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</row>
    <row r="239" spans="1:25" ht="21" customHeight="1">
      <c r="A239" s="215"/>
      <c r="B239" s="220"/>
      <c r="C239" s="223"/>
      <c r="D239" s="220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</row>
    <row r="240" spans="1:25" ht="21" customHeight="1">
      <c r="A240" s="215"/>
      <c r="B240" s="220"/>
      <c r="C240" s="223"/>
      <c r="D240" s="220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</row>
    <row r="241" spans="1:25" ht="21" customHeight="1">
      <c r="A241" s="215"/>
      <c r="B241" s="220"/>
      <c r="C241" s="223"/>
      <c r="D241" s="220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</row>
    <row r="242" spans="1:25" ht="21" customHeight="1">
      <c r="A242" s="215"/>
      <c r="B242" s="220"/>
      <c r="C242" s="223"/>
      <c r="D242" s="220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</row>
    <row r="243" spans="1:25" ht="21" customHeight="1">
      <c r="A243" s="215"/>
      <c r="B243" s="220"/>
      <c r="C243" s="223"/>
      <c r="D243" s="220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</row>
    <row r="244" spans="1:25" ht="21" customHeight="1">
      <c r="A244" s="215"/>
      <c r="B244" s="220"/>
      <c r="C244" s="223"/>
      <c r="D244" s="220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</row>
    <row r="245" spans="1:25" ht="21" customHeight="1">
      <c r="A245" s="215"/>
      <c r="B245" s="220"/>
      <c r="C245" s="223"/>
      <c r="D245" s="220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</row>
    <row r="246" spans="1:25" ht="21" customHeight="1">
      <c r="A246" s="215"/>
      <c r="B246" s="220"/>
      <c r="C246" s="223"/>
      <c r="D246" s="220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</row>
    <row r="247" spans="1:25" ht="21" customHeight="1">
      <c r="A247" s="215"/>
      <c r="B247" s="220"/>
      <c r="C247" s="223"/>
      <c r="D247" s="220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</row>
    <row r="248" spans="1:25" ht="21" customHeight="1">
      <c r="A248" s="215"/>
      <c r="B248" s="220"/>
      <c r="C248" s="223"/>
      <c r="D248" s="220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</row>
    <row r="249" spans="1:25" ht="21" customHeight="1">
      <c r="A249" s="215"/>
      <c r="B249" s="220"/>
      <c r="C249" s="223"/>
      <c r="D249" s="220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</row>
    <row r="250" spans="1:25" ht="21" customHeight="1">
      <c r="A250" s="215"/>
      <c r="B250" s="220"/>
      <c r="C250" s="223"/>
      <c r="D250" s="220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</row>
    <row r="251" spans="1:25" ht="21" customHeight="1">
      <c r="A251" s="215"/>
      <c r="B251" s="220"/>
      <c r="C251" s="223"/>
      <c r="D251" s="220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</row>
    <row r="252" spans="1:25" ht="21" customHeight="1">
      <c r="A252" s="215"/>
      <c r="B252" s="220"/>
      <c r="C252" s="223"/>
      <c r="D252" s="220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</row>
    <row r="253" spans="1:25" ht="21" customHeight="1">
      <c r="A253" s="215"/>
      <c r="B253" s="220"/>
      <c r="C253" s="223"/>
      <c r="D253" s="220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</row>
    <row r="254" spans="1:25" ht="21" customHeight="1">
      <c r="A254" s="215"/>
      <c r="B254" s="220"/>
      <c r="C254" s="223"/>
      <c r="D254" s="220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</row>
    <row r="255" spans="1:25" ht="21" customHeight="1">
      <c r="A255" s="215"/>
      <c r="B255" s="220"/>
      <c r="C255" s="223"/>
      <c r="D255" s="220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</row>
    <row r="256" spans="1:25" ht="21" customHeight="1">
      <c r="A256" s="215"/>
      <c r="B256" s="220"/>
      <c r="C256" s="223"/>
      <c r="D256" s="220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</row>
    <row r="257" spans="1:25" ht="21" customHeight="1">
      <c r="A257" s="215"/>
      <c r="B257" s="220"/>
      <c r="C257" s="223"/>
      <c r="D257" s="220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</row>
    <row r="258" spans="1:25" ht="21" customHeight="1">
      <c r="A258" s="215"/>
      <c r="B258" s="220"/>
      <c r="C258" s="223"/>
      <c r="D258" s="220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</row>
    <row r="259" spans="1:25" ht="21" customHeight="1">
      <c r="A259" s="215"/>
      <c r="B259" s="220"/>
      <c r="C259" s="223"/>
      <c r="D259" s="220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</row>
    <row r="260" spans="1:25" ht="21" customHeight="1">
      <c r="A260" s="215"/>
      <c r="B260" s="220"/>
      <c r="C260" s="223"/>
      <c r="D260" s="220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</row>
    <row r="261" spans="1:25" ht="21" customHeight="1">
      <c r="A261" s="215"/>
      <c r="B261" s="220"/>
      <c r="C261" s="223"/>
      <c r="D261" s="220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</row>
    <row r="262" spans="1:25" ht="21" customHeight="1">
      <c r="A262" s="215"/>
      <c r="B262" s="220"/>
      <c r="C262" s="223"/>
      <c r="D262" s="220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</row>
    <row r="263" spans="1:25" ht="21" customHeight="1">
      <c r="A263" s="215"/>
      <c r="B263" s="220"/>
      <c r="C263" s="223"/>
      <c r="D263" s="220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</row>
    <row r="264" spans="1:25" ht="21" customHeight="1">
      <c r="A264" s="215"/>
      <c r="B264" s="220"/>
      <c r="C264" s="223"/>
      <c r="D264" s="220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</row>
    <row r="265" spans="1:25" ht="21" customHeight="1">
      <c r="A265" s="215"/>
      <c r="B265" s="220"/>
      <c r="C265" s="223"/>
      <c r="D265" s="220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</row>
    <row r="266" spans="1:25" ht="21" customHeight="1">
      <c r="A266" s="215"/>
      <c r="B266" s="220"/>
      <c r="C266" s="223"/>
      <c r="D266" s="220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</row>
    <row r="267" spans="1:25" ht="21" customHeight="1">
      <c r="A267" s="215"/>
      <c r="B267" s="220"/>
      <c r="C267" s="223"/>
      <c r="D267" s="220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</row>
    <row r="268" spans="1:25" ht="21" customHeight="1">
      <c r="A268" s="215"/>
      <c r="B268" s="220"/>
      <c r="C268" s="223"/>
      <c r="D268" s="220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</row>
    <row r="269" spans="1:25" ht="21" customHeight="1">
      <c r="A269" s="215"/>
      <c r="B269" s="220"/>
      <c r="C269" s="223"/>
      <c r="D269" s="220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</row>
    <row r="270" spans="1:25" ht="21" customHeight="1">
      <c r="A270" s="215"/>
      <c r="B270" s="220"/>
      <c r="C270" s="223"/>
      <c r="D270" s="220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</row>
    <row r="271" spans="1:25" ht="21" customHeight="1">
      <c r="A271" s="215"/>
      <c r="B271" s="220"/>
      <c r="C271" s="223"/>
      <c r="D271" s="220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</row>
    <row r="272" spans="1:25" ht="21" customHeight="1">
      <c r="A272" s="215"/>
      <c r="B272" s="220"/>
      <c r="C272" s="223"/>
      <c r="D272" s="220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</row>
    <row r="273" spans="1:25" ht="21" customHeight="1">
      <c r="A273" s="215"/>
      <c r="B273" s="220"/>
      <c r="C273" s="223"/>
      <c r="D273" s="220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</row>
    <row r="274" spans="1:25" ht="21" customHeight="1">
      <c r="A274" s="215"/>
      <c r="B274" s="220"/>
      <c r="C274" s="223"/>
      <c r="D274" s="220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</row>
    <row r="275" spans="1:25" ht="21" customHeight="1">
      <c r="A275" s="215"/>
      <c r="B275" s="220"/>
      <c r="C275" s="223"/>
      <c r="D275" s="220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</row>
    <row r="276" spans="1:25" ht="21" customHeight="1">
      <c r="A276" s="215"/>
      <c r="B276" s="220"/>
      <c r="C276" s="223"/>
      <c r="D276" s="220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</row>
    <row r="277" spans="1:25" ht="21" customHeight="1">
      <c r="A277" s="215"/>
      <c r="B277" s="220"/>
      <c r="C277" s="223"/>
      <c r="D277" s="220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</row>
    <row r="278" spans="1:25" ht="21" customHeight="1">
      <c r="A278" s="215"/>
      <c r="B278" s="220"/>
      <c r="C278" s="223"/>
      <c r="D278" s="220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</row>
    <row r="279" spans="1:25" ht="21" customHeight="1">
      <c r="A279" s="215"/>
      <c r="B279" s="220"/>
      <c r="C279" s="223"/>
      <c r="D279" s="220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</row>
    <row r="280" spans="1:25" ht="21" customHeight="1">
      <c r="A280" s="215"/>
      <c r="B280" s="220"/>
      <c r="C280" s="223"/>
      <c r="D280" s="220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</row>
    <row r="281" spans="1:25" ht="21" customHeight="1">
      <c r="A281" s="215"/>
      <c r="B281" s="220"/>
      <c r="C281" s="223"/>
      <c r="D281" s="220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</row>
    <row r="282" spans="1:25" ht="21" customHeight="1">
      <c r="A282" s="215"/>
      <c r="B282" s="220"/>
      <c r="C282" s="223"/>
      <c r="D282" s="220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</row>
    <row r="283" spans="1:25" ht="21" customHeight="1">
      <c r="A283" s="215"/>
      <c r="B283" s="220"/>
      <c r="C283" s="223"/>
      <c r="D283" s="220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</row>
    <row r="284" spans="1:25" ht="21" customHeight="1">
      <c r="A284" s="215"/>
      <c r="B284" s="220"/>
      <c r="C284" s="223"/>
      <c r="D284" s="220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</row>
    <row r="285" spans="1:25" ht="21" customHeight="1">
      <c r="A285" s="215"/>
      <c r="B285" s="220"/>
      <c r="C285" s="223"/>
      <c r="D285" s="220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</row>
    <row r="286" spans="1:25" ht="21" customHeight="1">
      <c r="A286" s="215"/>
      <c r="B286" s="220"/>
      <c r="C286" s="223"/>
      <c r="D286" s="220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</row>
    <row r="287" spans="1:25" ht="21" customHeight="1">
      <c r="A287" s="215"/>
      <c r="B287" s="220"/>
      <c r="C287" s="223"/>
      <c r="D287" s="220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</row>
    <row r="288" spans="1:25" ht="21" customHeight="1">
      <c r="A288" s="215"/>
      <c r="B288" s="220"/>
      <c r="C288" s="223"/>
      <c r="D288" s="220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</row>
    <row r="289" spans="1:25" ht="21" customHeight="1">
      <c r="A289" s="215"/>
      <c r="B289" s="220"/>
      <c r="C289" s="223"/>
      <c r="D289" s="220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</row>
    <row r="290" spans="1:25" ht="21" customHeight="1">
      <c r="A290" s="215"/>
      <c r="B290" s="220"/>
      <c r="C290" s="223"/>
      <c r="D290" s="220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</row>
    <row r="291" spans="1:25" ht="21" customHeight="1">
      <c r="A291" s="215"/>
      <c r="B291" s="220"/>
      <c r="C291" s="223"/>
      <c r="D291" s="220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</row>
    <row r="292" spans="1:25" ht="21" customHeight="1">
      <c r="A292" s="215"/>
      <c r="B292" s="220"/>
      <c r="C292" s="223"/>
      <c r="D292" s="220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</row>
    <row r="293" spans="1:25" ht="21" customHeight="1">
      <c r="A293" s="215"/>
      <c r="B293" s="220"/>
      <c r="C293" s="223"/>
      <c r="D293" s="220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</row>
    <row r="294" spans="1:25" ht="21" customHeight="1">
      <c r="A294" s="215"/>
      <c r="B294" s="220"/>
      <c r="C294" s="223"/>
      <c r="D294" s="220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</row>
    <row r="295" spans="1:25" ht="21" customHeight="1">
      <c r="A295" s="215"/>
      <c r="B295" s="220"/>
      <c r="C295" s="223"/>
      <c r="D295" s="220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</row>
    <row r="296" spans="1:25" ht="21" customHeight="1">
      <c r="A296" s="215"/>
      <c r="B296" s="220"/>
      <c r="C296" s="223"/>
      <c r="D296" s="220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</row>
    <row r="297" spans="1:25" ht="21" customHeight="1">
      <c r="A297" s="215"/>
      <c r="B297" s="220"/>
      <c r="C297" s="223"/>
      <c r="D297" s="220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</row>
    <row r="298" spans="1:25" ht="21" customHeight="1">
      <c r="A298" s="215"/>
      <c r="B298" s="220"/>
      <c r="C298" s="223"/>
      <c r="D298" s="220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</row>
    <row r="299" spans="1:25" ht="21" customHeight="1">
      <c r="A299" s="215"/>
      <c r="B299" s="220"/>
      <c r="C299" s="223"/>
      <c r="D299" s="220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</row>
    <row r="300" spans="1:25" ht="21" customHeight="1">
      <c r="A300" s="215"/>
      <c r="B300" s="220"/>
      <c r="C300" s="223"/>
      <c r="D300" s="220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</row>
    <row r="301" spans="1:25" ht="21" customHeight="1">
      <c r="A301" s="215"/>
      <c r="B301" s="220"/>
      <c r="C301" s="223"/>
      <c r="D301" s="220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</row>
    <row r="302" spans="1:25" ht="21" customHeight="1">
      <c r="A302" s="215"/>
      <c r="B302" s="220"/>
      <c r="C302" s="223"/>
      <c r="D302" s="220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</row>
    <row r="303" spans="1:25" ht="21" customHeight="1">
      <c r="A303" s="215"/>
      <c r="B303" s="220"/>
      <c r="C303" s="223"/>
      <c r="D303" s="220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</row>
    <row r="304" spans="1:25" ht="21" customHeight="1">
      <c r="A304" s="215"/>
      <c r="B304" s="220"/>
      <c r="C304" s="223"/>
      <c r="D304" s="220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</row>
    <row r="305" spans="1:25" ht="21" customHeight="1">
      <c r="A305" s="215"/>
      <c r="B305" s="220"/>
      <c r="C305" s="223"/>
      <c r="D305" s="220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</row>
    <row r="306" spans="1:25" ht="21" customHeight="1">
      <c r="A306" s="215"/>
      <c r="B306" s="220"/>
      <c r="C306" s="223"/>
      <c r="D306" s="220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</row>
    <row r="307" spans="1:25" ht="21" customHeight="1">
      <c r="A307" s="215"/>
      <c r="B307" s="220"/>
      <c r="C307" s="223"/>
      <c r="D307" s="220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</row>
    <row r="308" spans="1:25" ht="21" customHeight="1">
      <c r="A308" s="215"/>
      <c r="B308" s="220"/>
      <c r="C308" s="223"/>
      <c r="D308" s="220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</row>
    <row r="309" spans="1:25" ht="21" customHeight="1">
      <c r="A309" s="215"/>
      <c r="B309" s="220"/>
      <c r="C309" s="223"/>
      <c r="D309" s="220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</row>
    <row r="310" spans="1:25" ht="21" customHeight="1">
      <c r="A310" s="215"/>
      <c r="B310" s="220"/>
      <c r="C310" s="223"/>
      <c r="D310" s="220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</row>
    <row r="311" spans="1:25" ht="21" customHeight="1">
      <c r="A311" s="215"/>
      <c r="B311" s="220"/>
      <c r="C311" s="223"/>
      <c r="D311" s="220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</row>
    <row r="312" spans="1:25" ht="21" customHeight="1">
      <c r="A312" s="215"/>
      <c r="B312" s="220"/>
      <c r="C312" s="223"/>
      <c r="D312" s="220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</row>
    <row r="313" spans="1:25" ht="21" customHeight="1">
      <c r="A313" s="215"/>
      <c r="B313" s="220"/>
      <c r="C313" s="223"/>
      <c r="D313" s="220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</row>
    <row r="314" spans="1:25" ht="21" customHeight="1">
      <c r="A314" s="215"/>
      <c r="B314" s="220"/>
      <c r="C314" s="223"/>
      <c r="D314" s="220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</row>
    <row r="315" spans="1:25" ht="21" customHeight="1">
      <c r="A315" s="215"/>
      <c r="B315" s="220"/>
      <c r="C315" s="223"/>
      <c r="D315" s="220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</row>
    <row r="316" spans="1:25" ht="21" customHeight="1">
      <c r="A316" s="215"/>
      <c r="B316" s="220"/>
      <c r="C316" s="223"/>
      <c r="D316" s="220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</row>
    <row r="317" spans="1:25" ht="21" customHeight="1">
      <c r="A317" s="215"/>
      <c r="B317" s="220"/>
      <c r="C317" s="223"/>
      <c r="D317" s="220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</row>
    <row r="318" spans="1:25" ht="21" customHeight="1">
      <c r="A318" s="215"/>
      <c r="B318" s="220"/>
      <c r="C318" s="223"/>
      <c r="D318" s="220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</row>
    <row r="319" spans="1:25" ht="21" customHeight="1">
      <c r="A319" s="215"/>
      <c r="B319" s="220"/>
      <c r="C319" s="223"/>
      <c r="D319" s="220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</row>
    <row r="320" spans="1:25" ht="21" customHeight="1">
      <c r="A320" s="215"/>
      <c r="B320" s="220"/>
      <c r="C320" s="223"/>
      <c r="D320" s="220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</row>
    <row r="321" spans="1:25" ht="21" customHeight="1">
      <c r="A321" s="215"/>
      <c r="B321" s="220"/>
      <c r="C321" s="223"/>
      <c r="D321" s="220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</row>
    <row r="322" spans="1:25" ht="21" customHeight="1">
      <c r="A322" s="215"/>
      <c r="B322" s="220"/>
      <c r="C322" s="223"/>
      <c r="D322" s="220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</row>
    <row r="323" spans="1:25" ht="21" customHeight="1">
      <c r="A323" s="215"/>
      <c r="B323" s="220"/>
      <c r="C323" s="223"/>
      <c r="D323" s="220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</row>
    <row r="324" spans="1:25" ht="21" customHeight="1">
      <c r="A324" s="215"/>
      <c r="B324" s="220"/>
      <c r="C324" s="223"/>
      <c r="D324" s="220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</row>
    <row r="325" spans="1:25" ht="21" customHeight="1">
      <c r="A325" s="215"/>
      <c r="B325" s="220"/>
      <c r="C325" s="223"/>
      <c r="D325" s="220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</row>
    <row r="326" spans="1:25" ht="21" customHeight="1">
      <c r="A326" s="215"/>
      <c r="B326" s="220"/>
      <c r="C326" s="223"/>
      <c r="D326" s="220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</row>
    <row r="327" spans="1:25" ht="21" customHeight="1">
      <c r="A327" s="215"/>
      <c r="B327" s="220"/>
      <c r="C327" s="223"/>
      <c r="D327" s="220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</row>
    <row r="328" spans="1:25" ht="21" customHeight="1">
      <c r="A328" s="215"/>
      <c r="B328" s="220"/>
      <c r="C328" s="223"/>
      <c r="D328" s="220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</row>
    <row r="329" spans="1:25" ht="21" customHeight="1">
      <c r="A329" s="215"/>
      <c r="B329" s="220"/>
      <c r="C329" s="223"/>
      <c r="D329" s="220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</row>
    <row r="330" spans="1:25" ht="21" customHeight="1">
      <c r="A330" s="215"/>
      <c r="B330" s="220"/>
      <c r="C330" s="223"/>
      <c r="D330" s="220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</row>
    <row r="331" spans="1:25" ht="21" customHeight="1">
      <c r="A331" s="215"/>
      <c r="B331" s="220"/>
      <c r="C331" s="223"/>
      <c r="D331" s="220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</row>
    <row r="332" spans="1:25" ht="21" customHeight="1">
      <c r="A332" s="215"/>
      <c r="B332" s="220"/>
      <c r="C332" s="223"/>
      <c r="D332" s="220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</row>
    <row r="333" spans="1:25" ht="21" customHeight="1">
      <c r="A333" s="215"/>
      <c r="B333" s="220"/>
      <c r="C333" s="223"/>
      <c r="D333" s="220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</row>
    <row r="334" spans="1:25" ht="21" customHeight="1">
      <c r="A334" s="215"/>
      <c r="B334" s="220"/>
      <c r="C334" s="223"/>
      <c r="D334" s="220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</row>
    <row r="335" spans="1:25" ht="21" customHeight="1">
      <c r="A335" s="215"/>
      <c r="B335" s="220"/>
      <c r="C335" s="223"/>
      <c r="D335" s="220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</row>
    <row r="336" spans="1:25" ht="21" customHeight="1">
      <c r="A336" s="215"/>
      <c r="B336" s="220"/>
      <c r="C336" s="223"/>
      <c r="D336" s="220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</row>
    <row r="337" spans="1:25" ht="21" customHeight="1">
      <c r="A337" s="215"/>
      <c r="B337" s="220"/>
      <c r="C337" s="223"/>
      <c r="D337" s="220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</row>
    <row r="338" spans="1:25" ht="21" customHeight="1">
      <c r="A338" s="215"/>
      <c r="B338" s="220"/>
      <c r="C338" s="223"/>
      <c r="D338" s="220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</row>
    <row r="339" spans="1:25" ht="21" customHeight="1">
      <c r="A339" s="215"/>
      <c r="B339" s="220"/>
      <c r="C339" s="223"/>
      <c r="D339" s="220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</row>
    <row r="340" spans="1:25" ht="21" customHeight="1">
      <c r="A340" s="215"/>
      <c r="B340" s="220"/>
      <c r="C340" s="223"/>
      <c r="D340" s="220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</row>
    <row r="341" spans="1:25" ht="21" customHeight="1">
      <c r="A341" s="215"/>
      <c r="B341" s="220"/>
      <c r="C341" s="223"/>
      <c r="D341" s="220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</row>
    <row r="342" spans="1:25" ht="21" customHeight="1">
      <c r="A342" s="215"/>
      <c r="B342" s="220"/>
      <c r="C342" s="223"/>
      <c r="D342" s="220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</row>
    <row r="343" spans="1:25" ht="21" customHeight="1">
      <c r="A343" s="215"/>
      <c r="B343" s="220"/>
      <c r="C343" s="223"/>
      <c r="D343" s="220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</row>
    <row r="344" spans="1:25" ht="21" customHeight="1">
      <c r="A344" s="215"/>
      <c r="B344" s="220"/>
      <c r="C344" s="223"/>
      <c r="D344" s="220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</row>
    <row r="345" spans="1:25" ht="21" customHeight="1">
      <c r="A345" s="215"/>
      <c r="B345" s="220"/>
      <c r="C345" s="223"/>
      <c r="D345" s="220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</row>
    <row r="346" spans="1:25" ht="21" customHeight="1">
      <c r="A346" s="215"/>
      <c r="B346" s="220"/>
      <c r="C346" s="223"/>
      <c r="D346" s="220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</row>
    <row r="347" spans="1:25" ht="21" customHeight="1">
      <c r="A347" s="215"/>
      <c r="B347" s="220"/>
      <c r="C347" s="223"/>
      <c r="D347" s="220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</row>
    <row r="348" spans="1:25" ht="21" customHeight="1">
      <c r="A348" s="215"/>
      <c r="B348" s="220"/>
      <c r="C348" s="223"/>
      <c r="D348" s="220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</row>
    <row r="349" spans="1:25" ht="21" customHeight="1">
      <c r="A349" s="215"/>
      <c r="B349" s="220"/>
      <c r="C349" s="223"/>
      <c r="D349" s="220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</row>
    <row r="350" spans="1:25" ht="21" customHeight="1">
      <c r="A350" s="215"/>
      <c r="B350" s="220"/>
      <c r="C350" s="223"/>
      <c r="D350" s="220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</row>
    <row r="351" spans="1:25" ht="21" customHeight="1">
      <c r="A351" s="215"/>
      <c r="B351" s="220"/>
      <c r="C351" s="223"/>
      <c r="D351" s="220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</row>
    <row r="352" spans="1:25" ht="21" customHeight="1">
      <c r="A352" s="215"/>
      <c r="B352" s="220"/>
      <c r="C352" s="223"/>
      <c r="D352" s="220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</row>
    <row r="353" spans="1:25" ht="21" customHeight="1">
      <c r="A353" s="215"/>
      <c r="B353" s="220"/>
      <c r="C353" s="223"/>
      <c r="D353" s="220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</row>
    <row r="354" spans="1:25" ht="21" customHeight="1">
      <c r="A354" s="215"/>
      <c r="B354" s="220"/>
      <c r="C354" s="223"/>
      <c r="D354" s="220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</row>
    <row r="355" spans="1:25" ht="21" customHeight="1">
      <c r="A355" s="215"/>
      <c r="B355" s="220"/>
      <c r="C355" s="223"/>
      <c r="D355" s="220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</row>
    <row r="356" spans="1:25" ht="21" customHeight="1">
      <c r="A356" s="215"/>
      <c r="B356" s="220"/>
      <c r="C356" s="223"/>
      <c r="D356" s="220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</row>
    <row r="357" spans="1:25" ht="21" customHeight="1">
      <c r="A357" s="215"/>
      <c r="B357" s="220"/>
      <c r="C357" s="223"/>
      <c r="D357" s="220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</row>
    <row r="358" spans="1:25" ht="21" customHeight="1">
      <c r="A358" s="215"/>
      <c r="B358" s="220"/>
      <c r="C358" s="223"/>
      <c r="D358" s="220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</row>
    <row r="359" spans="1:25" ht="21" customHeight="1">
      <c r="A359" s="215"/>
      <c r="B359" s="220"/>
      <c r="C359" s="223"/>
      <c r="D359" s="220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</row>
    <row r="360" spans="1:25" ht="21" customHeight="1">
      <c r="A360" s="215"/>
      <c r="B360" s="220"/>
      <c r="C360" s="223"/>
      <c r="D360" s="220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</row>
    <row r="361" spans="1:25" ht="21" customHeight="1">
      <c r="A361" s="215"/>
      <c r="B361" s="220"/>
      <c r="C361" s="223"/>
      <c r="D361" s="220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</row>
    <row r="362" spans="1:25" ht="21" customHeight="1">
      <c r="A362" s="215"/>
      <c r="B362" s="220"/>
      <c r="C362" s="223"/>
      <c r="D362" s="220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</row>
    <row r="363" spans="1:25" ht="21" customHeight="1">
      <c r="A363" s="215"/>
      <c r="B363" s="220"/>
      <c r="C363" s="223"/>
      <c r="D363" s="220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</row>
    <row r="364" spans="1:25" ht="21" customHeight="1">
      <c r="A364" s="215"/>
      <c r="B364" s="220"/>
      <c r="C364" s="223"/>
      <c r="D364" s="220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</row>
    <row r="365" spans="1:25" ht="21" customHeight="1">
      <c r="A365" s="215"/>
      <c r="B365" s="220"/>
      <c r="C365" s="223"/>
      <c r="D365" s="220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</row>
    <row r="366" spans="1:25" ht="21" customHeight="1">
      <c r="A366" s="215"/>
      <c r="B366" s="220"/>
      <c r="C366" s="223"/>
      <c r="D366" s="220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</row>
    <row r="367" spans="1:25" ht="21" customHeight="1">
      <c r="A367" s="215"/>
      <c r="B367" s="220"/>
      <c r="C367" s="223"/>
      <c r="D367" s="220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</row>
    <row r="368" spans="1:25" ht="21" customHeight="1">
      <c r="A368" s="215"/>
      <c r="B368" s="220"/>
      <c r="C368" s="223"/>
      <c r="D368" s="220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</row>
    <row r="369" spans="1:25" ht="21" customHeight="1">
      <c r="A369" s="215"/>
      <c r="B369" s="220"/>
      <c r="C369" s="223"/>
      <c r="D369" s="220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</row>
    <row r="370" spans="1:25" ht="21" customHeight="1">
      <c r="A370" s="215"/>
      <c r="B370" s="220"/>
      <c r="C370" s="223"/>
      <c r="D370" s="220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</row>
    <row r="371" spans="1:25" ht="21" customHeight="1">
      <c r="A371" s="215"/>
      <c r="B371" s="220"/>
      <c r="C371" s="223"/>
      <c r="D371" s="220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</row>
    <row r="372" spans="1:25" ht="21" customHeight="1">
      <c r="A372" s="215"/>
      <c r="B372" s="220"/>
      <c r="C372" s="223"/>
      <c r="D372" s="220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</row>
    <row r="373" spans="1:25" ht="21" customHeight="1">
      <c r="A373" s="215"/>
      <c r="B373" s="220"/>
      <c r="C373" s="223"/>
      <c r="D373" s="220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</row>
    <row r="374" spans="1:25" ht="21" customHeight="1">
      <c r="A374" s="215"/>
      <c r="B374" s="220"/>
      <c r="C374" s="223"/>
      <c r="D374" s="220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</row>
    <row r="375" spans="1:25" ht="21" customHeight="1">
      <c r="A375" s="215"/>
      <c r="B375" s="220"/>
      <c r="C375" s="223"/>
      <c r="D375" s="220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</row>
    <row r="376" spans="1:25" ht="21" customHeight="1">
      <c r="A376" s="215"/>
      <c r="B376" s="220"/>
      <c r="C376" s="223"/>
      <c r="D376" s="220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</row>
    <row r="377" spans="1:25" ht="21" customHeight="1">
      <c r="A377" s="215"/>
      <c r="B377" s="220"/>
      <c r="C377" s="223"/>
      <c r="D377" s="220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</row>
    <row r="378" spans="1:25" ht="21" customHeight="1">
      <c r="A378" s="215"/>
      <c r="B378" s="220"/>
      <c r="C378" s="223"/>
      <c r="D378" s="220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</row>
    <row r="379" spans="1:25" ht="21" customHeight="1">
      <c r="A379" s="215"/>
      <c r="B379" s="220"/>
      <c r="C379" s="223"/>
      <c r="D379" s="220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</row>
    <row r="380" spans="1:25" ht="21" customHeight="1">
      <c r="A380" s="215"/>
      <c r="B380" s="220"/>
      <c r="C380" s="223"/>
      <c r="D380" s="220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</row>
    <row r="381" spans="1:25" ht="21" customHeight="1">
      <c r="A381" s="215"/>
      <c r="B381" s="220"/>
      <c r="C381" s="223"/>
      <c r="D381" s="220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</row>
    <row r="382" spans="1:25" ht="21" customHeight="1">
      <c r="A382" s="215"/>
      <c r="B382" s="220"/>
      <c r="C382" s="223"/>
      <c r="D382" s="220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</row>
    <row r="383" spans="1:25" ht="21" customHeight="1">
      <c r="A383" s="215"/>
      <c r="B383" s="220"/>
      <c r="C383" s="223"/>
      <c r="D383" s="220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</row>
    <row r="384" spans="1:25" ht="21" customHeight="1">
      <c r="A384" s="215"/>
      <c r="B384" s="220"/>
      <c r="C384" s="223"/>
      <c r="D384" s="220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</row>
    <row r="385" spans="1:25" ht="21" customHeight="1">
      <c r="A385" s="215"/>
      <c r="B385" s="220"/>
      <c r="C385" s="223"/>
      <c r="D385" s="220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</row>
    <row r="386" spans="1:25" ht="21" customHeight="1">
      <c r="A386" s="215"/>
      <c r="B386" s="220"/>
      <c r="C386" s="223"/>
      <c r="D386" s="220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</row>
    <row r="387" spans="1:25" ht="21" customHeight="1">
      <c r="A387" s="215"/>
      <c r="B387" s="220"/>
      <c r="C387" s="223"/>
      <c r="D387" s="220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</row>
    <row r="388" spans="1:25" ht="21" customHeight="1">
      <c r="A388" s="215"/>
      <c r="B388" s="220"/>
      <c r="C388" s="223"/>
      <c r="D388" s="220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</row>
    <row r="389" spans="1:25" ht="21" customHeight="1">
      <c r="A389" s="215"/>
      <c r="B389" s="220"/>
      <c r="C389" s="223"/>
      <c r="D389" s="220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</row>
    <row r="390" spans="1:25" ht="21" customHeight="1">
      <c r="A390" s="215"/>
      <c r="B390" s="220"/>
      <c r="C390" s="223"/>
      <c r="D390" s="220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</row>
    <row r="391" spans="1:25" ht="21" customHeight="1">
      <c r="A391" s="215"/>
      <c r="B391" s="220"/>
      <c r="C391" s="223"/>
      <c r="D391" s="220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</row>
    <row r="392" spans="1:25" ht="21" customHeight="1">
      <c r="A392" s="215"/>
      <c r="B392" s="220"/>
      <c r="C392" s="223"/>
      <c r="D392" s="220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</row>
    <row r="393" spans="1:25" ht="21" customHeight="1">
      <c r="A393" s="215"/>
      <c r="B393" s="220"/>
      <c r="C393" s="223"/>
      <c r="D393" s="220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</row>
    <row r="394" spans="1:25" ht="21" customHeight="1">
      <c r="A394" s="215"/>
      <c r="B394" s="220"/>
      <c r="C394" s="223"/>
      <c r="D394" s="220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</row>
    <row r="395" spans="1:25" ht="21" customHeight="1">
      <c r="A395" s="215"/>
      <c r="B395" s="220"/>
      <c r="C395" s="223"/>
      <c r="D395" s="220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</row>
    <row r="396" spans="1:25" ht="21" customHeight="1">
      <c r="A396" s="215"/>
      <c r="B396" s="220"/>
      <c r="C396" s="223"/>
      <c r="D396" s="220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</row>
    <row r="397" spans="1:25" ht="21" customHeight="1">
      <c r="A397" s="215"/>
      <c r="B397" s="220"/>
      <c r="C397" s="223"/>
      <c r="D397" s="220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</row>
    <row r="398" spans="1:25" ht="21" customHeight="1">
      <c r="A398" s="215"/>
      <c r="B398" s="220"/>
      <c r="C398" s="223"/>
      <c r="D398" s="220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</row>
    <row r="399" spans="1:25" ht="21" customHeight="1">
      <c r="A399" s="215"/>
      <c r="B399" s="220"/>
      <c r="C399" s="223"/>
      <c r="D399" s="220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</row>
    <row r="400" spans="1:25" ht="21" customHeight="1">
      <c r="A400" s="215"/>
      <c r="B400" s="220"/>
      <c r="C400" s="223"/>
      <c r="D400" s="220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</row>
    <row r="401" spans="1:25" ht="21" customHeight="1">
      <c r="A401" s="215"/>
      <c r="B401" s="220"/>
      <c r="C401" s="223"/>
      <c r="D401" s="220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</row>
    <row r="402" spans="1:25" ht="21" customHeight="1">
      <c r="A402" s="215"/>
      <c r="B402" s="220"/>
      <c r="C402" s="223"/>
      <c r="D402" s="220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</row>
    <row r="403" spans="1:25" ht="21" customHeight="1">
      <c r="A403" s="215"/>
      <c r="B403" s="220"/>
      <c r="C403" s="223"/>
      <c r="D403" s="220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</row>
    <row r="404" spans="1:25" ht="21" customHeight="1">
      <c r="A404" s="215"/>
      <c r="B404" s="220"/>
      <c r="C404" s="223"/>
      <c r="D404" s="220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</row>
    <row r="405" spans="1:25" ht="21" customHeight="1">
      <c r="A405" s="215"/>
      <c r="B405" s="220"/>
      <c r="C405" s="223"/>
      <c r="D405" s="220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</row>
    <row r="406" spans="1:25" ht="21" customHeight="1">
      <c r="A406" s="215"/>
      <c r="B406" s="220"/>
      <c r="C406" s="223"/>
      <c r="D406" s="220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</row>
    <row r="407" spans="1:25" ht="21" customHeight="1">
      <c r="A407" s="215"/>
      <c r="B407" s="220"/>
      <c r="C407" s="223"/>
      <c r="D407" s="220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</row>
    <row r="408" spans="1:25" ht="21" customHeight="1">
      <c r="A408" s="215"/>
      <c r="B408" s="220"/>
      <c r="C408" s="223"/>
      <c r="D408" s="220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</row>
    <row r="409" spans="1:25" ht="21" customHeight="1">
      <c r="A409" s="215"/>
      <c r="B409" s="220"/>
      <c r="C409" s="223"/>
      <c r="D409" s="220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</row>
    <row r="410" spans="1:25" ht="21" customHeight="1">
      <c r="A410" s="215"/>
      <c r="B410" s="220"/>
      <c r="C410" s="223"/>
      <c r="D410" s="220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</row>
    <row r="411" spans="1:25" ht="21" customHeight="1">
      <c r="A411" s="215"/>
      <c r="B411" s="220"/>
      <c r="C411" s="223"/>
      <c r="D411" s="220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</row>
    <row r="412" spans="1:25" ht="21" customHeight="1">
      <c r="A412" s="215"/>
      <c r="B412" s="220"/>
      <c r="C412" s="223"/>
      <c r="D412" s="220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</row>
    <row r="413" spans="1:25" ht="21" customHeight="1">
      <c r="A413" s="215"/>
      <c r="B413" s="220"/>
      <c r="C413" s="223"/>
      <c r="D413" s="220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</row>
    <row r="414" spans="1:25" ht="21" customHeight="1">
      <c r="A414" s="215"/>
      <c r="B414" s="220"/>
      <c r="C414" s="223"/>
      <c r="D414" s="220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</row>
    <row r="415" spans="1:25" ht="21" customHeight="1">
      <c r="A415" s="215"/>
      <c r="B415" s="220"/>
      <c r="C415" s="223"/>
      <c r="D415" s="220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</row>
    <row r="416" spans="1:25" ht="21" customHeight="1">
      <c r="A416" s="215"/>
      <c r="B416" s="220"/>
      <c r="C416" s="223"/>
      <c r="D416" s="220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</row>
    <row r="417" spans="1:25" ht="21" customHeight="1">
      <c r="A417" s="215"/>
      <c r="B417" s="220"/>
      <c r="C417" s="223"/>
      <c r="D417" s="220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</row>
    <row r="418" spans="1:25" ht="21" customHeight="1">
      <c r="A418" s="215"/>
      <c r="B418" s="220"/>
      <c r="C418" s="223"/>
      <c r="D418" s="220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</row>
    <row r="419" spans="1:25" ht="21" customHeight="1">
      <c r="A419" s="215"/>
      <c r="B419" s="220"/>
      <c r="C419" s="223"/>
      <c r="D419" s="220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</row>
    <row r="420" spans="1:25" ht="21" customHeight="1">
      <c r="A420" s="215"/>
      <c r="B420" s="220"/>
      <c r="C420" s="223"/>
      <c r="D420" s="220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</row>
    <row r="421" spans="1:25" ht="21" customHeight="1">
      <c r="A421" s="215"/>
      <c r="B421" s="220"/>
      <c r="C421" s="223"/>
      <c r="D421" s="220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</row>
    <row r="422" spans="1:25" ht="21" customHeight="1">
      <c r="A422" s="215"/>
      <c r="B422" s="220"/>
      <c r="C422" s="223"/>
      <c r="D422" s="220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</row>
    <row r="423" spans="1:25" ht="21" customHeight="1">
      <c r="A423" s="215"/>
      <c r="B423" s="220"/>
      <c r="C423" s="223"/>
      <c r="D423" s="220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</row>
    <row r="424" spans="1:25" ht="21" customHeight="1">
      <c r="A424" s="215"/>
      <c r="B424" s="220"/>
      <c r="C424" s="223"/>
      <c r="D424" s="220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</row>
    <row r="425" spans="1:25" ht="21" customHeight="1">
      <c r="A425" s="215"/>
      <c r="B425" s="220"/>
      <c r="C425" s="223"/>
      <c r="D425" s="220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</row>
    <row r="426" spans="1:25" ht="21" customHeight="1">
      <c r="A426" s="215"/>
      <c r="B426" s="220"/>
      <c r="C426" s="223"/>
      <c r="D426" s="220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</row>
    <row r="427" spans="1:25" ht="21" customHeight="1">
      <c r="A427" s="215"/>
      <c r="B427" s="220"/>
      <c r="C427" s="223"/>
      <c r="D427" s="220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</row>
    <row r="428" spans="1:25" ht="21" customHeight="1">
      <c r="A428" s="215"/>
      <c r="B428" s="220"/>
      <c r="C428" s="223"/>
      <c r="D428" s="220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</row>
    <row r="429" spans="1:25" ht="21" customHeight="1">
      <c r="A429" s="215"/>
      <c r="B429" s="220"/>
      <c r="C429" s="223"/>
      <c r="D429" s="220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</row>
    <row r="430" spans="1:25" ht="21" customHeight="1">
      <c r="A430" s="215"/>
      <c r="B430" s="220"/>
      <c r="C430" s="223"/>
      <c r="D430" s="220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</row>
    <row r="431" spans="1:25" ht="21" customHeight="1">
      <c r="A431" s="215"/>
      <c r="B431" s="220"/>
      <c r="C431" s="223"/>
      <c r="D431" s="220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</row>
    <row r="432" spans="1:25" ht="21" customHeight="1">
      <c r="A432" s="215"/>
      <c r="B432" s="220"/>
      <c r="C432" s="223"/>
      <c r="D432" s="220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</row>
    <row r="433" spans="1:25" ht="21" customHeight="1">
      <c r="A433" s="215"/>
      <c r="B433" s="220"/>
      <c r="C433" s="223"/>
      <c r="D433" s="220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</row>
    <row r="434" spans="1:25" ht="21" customHeight="1">
      <c r="A434" s="215"/>
      <c r="B434" s="220"/>
      <c r="C434" s="223"/>
      <c r="D434" s="220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</row>
    <row r="435" spans="1:25" ht="21" customHeight="1">
      <c r="A435" s="215"/>
      <c r="B435" s="220"/>
      <c r="C435" s="223"/>
      <c r="D435" s="220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</row>
    <row r="436" spans="1:25" ht="21" customHeight="1">
      <c r="A436" s="215"/>
      <c r="B436" s="220"/>
      <c r="C436" s="223"/>
      <c r="D436" s="220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</row>
    <row r="437" spans="1:25" ht="21" customHeight="1">
      <c r="A437" s="215"/>
      <c r="B437" s="220"/>
      <c r="C437" s="223"/>
      <c r="D437" s="220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</row>
    <row r="438" spans="1:25" ht="21" customHeight="1">
      <c r="A438" s="215"/>
      <c r="B438" s="220"/>
      <c r="C438" s="223"/>
      <c r="D438" s="220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</row>
    <row r="439" spans="1:25" ht="21" customHeight="1">
      <c r="A439" s="215"/>
      <c r="B439" s="220"/>
      <c r="C439" s="223"/>
      <c r="D439" s="220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</row>
    <row r="440" spans="1:25" ht="21" customHeight="1">
      <c r="A440" s="215"/>
      <c r="B440" s="220"/>
      <c r="C440" s="223"/>
      <c r="D440" s="220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</row>
    <row r="441" spans="1:25" ht="21" customHeight="1">
      <c r="A441" s="215"/>
      <c r="B441" s="220"/>
      <c r="C441" s="223"/>
      <c r="D441" s="220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</row>
    <row r="442" spans="1:25" ht="21" customHeight="1">
      <c r="A442" s="215"/>
      <c r="B442" s="220"/>
      <c r="C442" s="223"/>
      <c r="D442" s="220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</row>
    <row r="443" spans="1:25" ht="21" customHeight="1">
      <c r="A443" s="215"/>
      <c r="B443" s="220"/>
      <c r="C443" s="223"/>
      <c r="D443" s="220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</row>
    <row r="444" spans="1:25" ht="21" customHeight="1">
      <c r="A444" s="215"/>
      <c r="B444" s="220"/>
      <c r="C444" s="223"/>
      <c r="D444" s="220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</row>
    <row r="445" spans="1:25" ht="21" customHeight="1">
      <c r="A445" s="215"/>
      <c r="B445" s="220"/>
      <c r="C445" s="223"/>
      <c r="D445" s="220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</row>
    <row r="446" spans="1:25" ht="21" customHeight="1">
      <c r="A446" s="215"/>
      <c r="B446" s="220"/>
      <c r="C446" s="223"/>
      <c r="D446" s="220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</row>
    <row r="447" spans="1:25" ht="21" customHeight="1">
      <c r="A447" s="215"/>
      <c r="B447" s="220"/>
      <c r="C447" s="223"/>
      <c r="D447" s="220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</row>
    <row r="448" spans="1:25" ht="21" customHeight="1">
      <c r="A448" s="215"/>
      <c r="B448" s="220"/>
      <c r="C448" s="223"/>
      <c r="D448" s="220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</row>
    <row r="449" spans="1:25" ht="21" customHeight="1">
      <c r="A449" s="215"/>
      <c r="B449" s="220"/>
      <c r="C449" s="223"/>
      <c r="D449" s="220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</row>
    <row r="450" spans="1:25" ht="21" customHeight="1">
      <c r="A450" s="215"/>
      <c r="B450" s="220"/>
      <c r="C450" s="223"/>
      <c r="D450" s="220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</row>
    <row r="451" spans="1:25" ht="21" customHeight="1">
      <c r="A451" s="215"/>
      <c r="B451" s="220"/>
      <c r="C451" s="223"/>
      <c r="D451" s="220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</row>
    <row r="452" spans="1:25" ht="21" customHeight="1">
      <c r="A452" s="215"/>
      <c r="B452" s="220"/>
      <c r="C452" s="223"/>
      <c r="D452" s="220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</row>
    <row r="453" spans="1:25" ht="21" customHeight="1">
      <c r="A453" s="215"/>
      <c r="B453" s="220"/>
      <c r="C453" s="223"/>
      <c r="D453" s="220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</row>
    <row r="454" spans="1:25" ht="21" customHeight="1">
      <c r="A454" s="215"/>
      <c r="B454" s="220"/>
      <c r="C454" s="223"/>
      <c r="D454" s="220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</row>
    <row r="455" spans="1:25" ht="21" customHeight="1">
      <c r="A455" s="215"/>
      <c r="B455" s="220"/>
      <c r="C455" s="223"/>
      <c r="D455" s="220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</row>
    <row r="456" spans="1:25" ht="21" customHeight="1">
      <c r="A456" s="215"/>
      <c r="B456" s="220"/>
      <c r="C456" s="223"/>
      <c r="D456" s="220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</row>
    <row r="457" spans="1:25" ht="21" customHeight="1">
      <c r="A457" s="215"/>
      <c r="B457" s="220"/>
      <c r="C457" s="223"/>
      <c r="D457" s="220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</row>
    <row r="458" spans="1:25" ht="21" customHeight="1">
      <c r="A458" s="215"/>
      <c r="B458" s="220"/>
      <c r="C458" s="223"/>
      <c r="D458" s="220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</row>
    <row r="459" spans="1:25" ht="21" customHeight="1">
      <c r="A459" s="215"/>
      <c r="B459" s="220"/>
      <c r="C459" s="223"/>
      <c r="D459" s="220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</row>
    <row r="460" spans="1:25" ht="21" customHeight="1">
      <c r="A460" s="215"/>
      <c r="B460" s="220"/>
      <c r="C460" s="223"/>
      <c r="D460" s="220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</row>
    <row r="461" spans="1:25" ht="21" customHeight="1">
      <c r="A461" s="215"/>
      <c r="B461" s="220"/>
      <c r="C461" s="223"/>
      <c r="D461" s="220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</row>
    <row r="462" spans="1:25" ht="21" customHeight="1">
      <c r="A462" s="215"/>
      <c r="B462" s="220"/>
      <c r="C462" s="223"/>
      <c r="D462" s="220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</row>
    <row r="463" spans="1:25" ht="21" customHeight="1">
      <c r="A463" s="215"/>
      <c r="B463" s="220"/>
      <c r="C463" s="223"/>
      <c r="D463" s="220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</row>
    <row r="464" spans="1:25" ht="21" customHeight="1">
      <c r="A464" s="215"/>
      <c r="B464" s="220"/>
      <c r="C464" s="223"/>
      <c r="D464" s="220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</row>
    <row r="465" spans="1:25" ht="21" customHeight="1">
      <c r="A465" s="215"/>
      <c r="B465" s="220"/>
      <c r="C465" s="223"/>
      <c r="D465" s="220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</row>
    <row r="466" spans="1:25" ht="21" customHeight="1">
      <c r="A466" s="215"/>
      <c r="B466" s="220"/>
      <c r="C466" s="223"/>
      <c r="D466" s="220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</row>
    <row r="467" spans="1:25" ht="21" customHeight="1">
      <c r="A467" s="215"/>
      <c r="B467" s="220"/>
      <c r="C467" s="223"/>
      <c r="D467" s="220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</row>
    <row r="468" spans="1:25" ht="21" customHeight="1">
      <c r="A468" s="215"/>
      <c r="B468" s="220"/>
      <c r="C468" s="223"/>
      <c r="D468" s="220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</row>
    <row r="469" spans="1:25" ht="21" customHeight="1">
      <c r="A469" s="215"/>
      <c r="B469" s="220"/>
      <c r="C469" s="223"/>
      <c r="D469" s="220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</row>
    <row r="470" spans="1:25" ht="21" customHeight="1">
      <c r="A470" s="215"/>
      <c r="B470" s="220"/>
      <c r="C470" s="223"/>
      <c r="D470" s="220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</row>
    <row r="471" spans="1:25" ht="21" customHeight="1">
      <c r="A471" s="215"/>
      <c r="B471" s="220"/>
      <c r="C471" s="223"/>
      <c r="D471" s="220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</row>
    <row r="472" spans="1:25" ht="21" customHeight="1">
      <c r="A472" s="215"/>
      <c r="B472" s="220"/>
      <c r="C472" s="223"/>
      <c r="D472" s="220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</row>
    <row r="473" spans="1:25" ht="21" customHeight="1">
      <c r="A473" s="215"/>
      <c r="B473" s="220"/>
      <c r="C473" s="223"/>
      <c r="D473" s="220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</row>
    <row r="474" spans="1:25" ht="21" customHeight="1">
      <c r="A474" s="215"/>
      <c r="B474" s="220"/>
      <c r="C474" s="223"/>
      <c r="D474" s="220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</row>
    <row r="475" spans="1:25" ht="21" customHeight="1">
      <c r="A475" s="215"/>
      <c r="B475" s="220"/>
      <c r="C475" s="223"/>
      <c r="D475" s="220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</row>
    <row r="476" spans="1:25" ht="21" customHeight="1">
      <c r="A476" s="215"/>
      <c r="B476" s="220"/>
      <c r="C476" s="223"/>
      <c r="D476" s="220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</row>
    <row r="477" spans="1:25" ht="21" customHeight="1">
      <c r="A477" s="215"/>
      <c r="B477" s="220"/>
      <c r="C477" s="223"/>
      <c r="D477" s="220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</row>
    <row r="478" spans="1:25" ht="21" customHeight="1">
      <c r="A478" s="215"/>
      <c r="B478" s="220"/>
      <c r="C478" s="223"/>
      <c r="D478" s="220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</row>
    <row r="479" spans="1:25" ht="21" customHeight="1">
      <c r="A479" s="215"/>
      <c r="B479" s="220"/>
      <c r="C479" s="223"/>
      <c r="D479" s="220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</row>
    <row r="480" spans="1:25" ht="21" customHeight="1">
      <c r="A480" s="215"/>
      <c r="B480" s="220"/>
      <c r="C480" s="223"/>
      <c r="D480" s="220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</row>
    <row r="481" spans="1:25" ht="21" customHeight="1">
      <c r="A481" s="215"/>
      <c r="B481" s="220"/>
      <c r="C481" s="223"/>
      <c r="D481" s="220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</row>
    <row r="482" spans="1:25" ht="21" customHeight="1">
      <c r="A482" s="215"/>
      <c r="B482" s="220"/>
      <c r="C482" s="223"/>
      <c r="D482" s="220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</row>
    <row r="483" spans="1:25" ht="21" customHeight="1">
      <c r="A483" s="215"/>
      <c r="B483" s="220"/>
      <c r="C483" s="223"/>
      <c r="D483" s="220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</row>
    <row r="484" spans="1:25" ht="21" customHeight="1">
      <c r="A484" s="215"/>
      <c r="B484" s="220"/>
      <c r="C484" s="223"/>
      <c r="D484" s="220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</row>
    <row r="485" spans="1:25" ht="21" customHeight="1">
      <c r="A485" s="215"/>
      <c r="B485" s="220"/>
      <c r="C485" s="223"/>
      <c r="D485" s="220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</row>
    <row r="486" spans="1:25" ht="21" customHeight="1">
      <c r="A486" s="215"/>
      <c r="B486" s="220"/>
      <c r="C486" s="223"/>
      <c r="D486" s="220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</row>
    <row r="487" spans="1:25" ht="21" customHeight="1">
      <c r="A487" s="215"/>
      <c r="B487" s="220"/>
      <c r="C487" s="223"/>
      <c r="D487" s="220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</row>
    <row r="488" spans="1:25" ht="21" customHeight="1">
      <c r="A488" s="215"/>
      <c r="B488" s="220"/>
      <c r="C488" s="223"/>
      <c r="D488" s="220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</row>
    <row r="489" spans="1:25" ht="21" customHeight="1">
      <c r="A489" s="215"/>
      <c r="B489" s="220"/>
      <c r="C489" s="223"/>
      <c r="D489" s="220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</row>
    <row r="490" spans="1:25" ht="21" customHeight="1">
      <c r="A490" s="215"/>
      <c r="B490" s="220"/>
      <c r="C490" s="223"/>
      <c r="D490" s="220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</row>
    <row r="491" spans="1:25" ht="21" customHeight="1">
      <c r="A491" s="215"/>
      <c r="B491" s="220"/>
      <c r="C491" s="223"/>
      <c r="D491" s="220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</row>
    <row r="492" spans="1:25" ht="21" customHeight="1">
      <c r="A492" s="215"/>
      <c r="B492" s="220"/>
      <c r="C492" s="223"/>
      <c r="D492" s="220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</row>
    <row r="493" spans="1:25" ht="21" customHeight="1">
      <c r="A493" s="215"/>
      <c r="B493" s="220"/>
      <c r="C493" s="223"/>
      <c r="D493" s="220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</row>
    <row r="494" spans="1:25" ht="21" customHeight="1">
      <c r="A494" s="215"/>
      <c r="B494" s="220"/>
      <c r="C494" s="223"/>
      <c r="D494" s="220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</row>
    <row r="495" spans="1:25" ht="21" customHeight="1">
      <c r="A495" s="215"/>
      <c r="B495" s="220"/>
      <c r="C495" s="223"/>
      <c r="D495" s="220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</row>
    <row r="496" spans="1:25" ht="21" customHeight="1">
      <c r="A496" s="215"/>
      <c r="B496" s="220"/>
      <c r="C496" s="223"/>
      <c r="D496" s="220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</row>
    <row r="497" spans="1:25" ht="21" customHeight="1">
      <c r="A497" s="215"/>
      <c r="B497" s="220"/>
      <c r="C497" s="223"/>
      <c r="D497" s="220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</row>
    <row r="498" spans="1:25" ht="21" customHeight="1">
      <c r="A498" s="215"/>
      <c r="B498" s="220"/>
      <c r="C498" s="223"/>
      <c r="D498" s="220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</row>
    <row r="499" spans="1:25" ht="21" customHeight="1">
      <c r="A499" s="215"/>
      <c r="B499" s="220"/>
      <c r="C499" s="223"/>
      <c r="D499" s="220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</row>
    <row r="500" spans="1:25" ht="21" customHeight="1">
      <c r="A500" s="215"/>
      <c r="B500" s="220"/>
      <c r="C500" s="223"/>
      <c r="D500" s="220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</row>
    <row r="501" spans="1:25" ht="21" customHeight="1">
      <c r="A501" s="215"/>
      <c r="B501" s="220"/>
      <c r="C501" s="223"/>
      <c r="D501" s="220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</row>
    <row r="502" spans="1:25" ht="21" customHeight="1">
      <c r="A502" s="215"/>
      <c r="B502" s="220"/>
      <c r="C502" s="223"/>
      <c r="D502" s="220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</row>
    <row r="503" spans="1:25" ht="21" customHeight="1">
      <c r="A503" s="215"/>
      <c r="B503" s="220"/>
      <c r="C503" s="223"/>
      <c r="D503" s="220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</row>
    <row r="504" spans="1:25" ht="21" customHeight="1">
      <c r="A504" s="215"/>
      <c r="B504" s="220"/>
      <c r="C504" s="223"/>
      <c r="D504" s="220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</row>
    <row r="505" spans="1:25" ht="21" customHeight="1">
      <c r="A505" s="215"/>
      <c r="B505" s="220"/>
      <c r="C505" s="223"/>
      <c r="D505" s="220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</row>
    <row r="506" spans="1:25" ht="21" customHeight="1">
      <c r="A506" s="215"/>
      <c r="B506" s="220"/>
      <c r="C506" s="223"/>
      <c r="D506" s="220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</row>
    <row r="507" spans="1:25" ht="21" customHeight="1">
      <c r="A507" s="215"/>
      <c r="B507" s="220"/>
      <c r="C507" s="223"/>
      <c r="D507" s="220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</row>
    <row r="508" spans="1:25" ht="21" customHeight="1">
      <c r="A508" s="215"/>
      <c r="B508" s="220"/>
      <c r="C508" s="223"/>
      <c r="D508" s="220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</row>
    <row r="509" spans="1:25" ht="21" customHeight="1">
      <c r="A509" s="215"/>
      <c r="B509" s="220"/>
      <c r="C509" s="223"/>
      <c r="D509" s="220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</row>
    <row r="510" spans="1:25" ht="21" customHeight="1">
      <c r="A510" s="215"/>
      <c r="B510" s="220"/>
      <c r="C510" s="223"/>
      <c r="D510" s="220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</row>
    <row r="511" spans="1:25" ht="21" customHeight="1">
      <c r="A511" s="215"/>
      <c r="B511" s="220"/>
      <c r="C511" s="223"/>
      <c r="D511" s="220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</row>
    <row r="512" spans="1:25" ht="21" customHeight="1">
      <c r="A512" s="215"/>
      <c r="B512" s="220"/>
      <c r="C512" s="223"/>
      <c r="D512" s="220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</row>
    <row r="513" spans="1:25" ht="21" customHeight="1">
      <c r="A513" s="215"/>
      <c r="B513" s="220"/>
      <c r="C513" s="223"/>
      <c r="D513" s="220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</row>
    <row r="514" spans="1:25" ht="21" customHeight="1">
      <c r="A514" s="215"/>
      <c r="B514" s="220"/>
      <c r="C514" s="223"/>
      <c r="D514" s="220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</row>
    <row r="515" spans="1:25" ht="21" customHeight="1">
      <c r="A515" s="215"/>
      <c r="B515" s="220"/>
      <c r="C515" s="223"/>
      <c r="D515" s="220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</row>
    <row r="516" spans="1:25" ht="21" customHeight="1">
      <c r="A516" s="215"/>
      <c r="B516" s="220"/>
      <c r="C516" s="223"/>
      <c r="D516" s="220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</row>
    <row r="517" spans="1:25" ht="21" customHeight="1">
      <c r="A517" s="215"/>
      <c r="B517" s="220"/>
      <c r="C517" s="223"/>
      <c r="D517" s="220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</row>
    <row r="518" spans="1:25" ht="21" customHeight="1">
      <c r="A518" s="215"/>
      <c r="B518" s="220"/>
      <c r="C518" s="223"/>
      <c r="D518" s="220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</row>
    <row r="519" spans="1:25" ht="21" customHeight="1">
      <c r="A519" s="215"/>
      <c r="B519" s="220"/>
      <c r="C519" s="223"/>
      <c r="D519" s="220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</row>
    <row r="520" spans="1:25" ht="21" customHeight="1">
      <c r="A520" s="215"/>
      <c r="B520" s="220"/>
      <c r="C520" s="223"/>
      <c r="D520" s="220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</row>
    <row r="521" spans="1:25" ht="21" customHeight="1">
      <c r="A521" s="215"/>
      <c r="B521" s="220"/>
      <c r="C521" s="223"/>
      <c r="D521" s="220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</row>
    <row r="522" spans="1:25" ht="21" customHeight="1">
      <c r="A522" s="215"/>
      <c r="B522" s="220"/>
      <c r="C522" s="223"/>
      <c r="D522" s="220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</row>
    <row r="523" spans="1:25" ht="21" customHeight="1">
      <c r="A523" s="215"/>
      <c r="B523" s="220"/>
      <c r="C523" s="223"/>
      <c r="D523" s="220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</row>
    <row r="524" spans="1:25" ht="21" customHeight="1">
      <c r="A524" s="215"/>
      <c r="B524" s="220"/>
      <c r="C524" s="223"/>
      <c r="D524" s="220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</row>
    <row r="525" spans="1:25" ht="21" customHeight="1">
      <c r="A525" s="215"/>
      <c r="B525" s="220"/>
      <c r="C525" s="223"/>
      <c r="D525" s="220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</row>
    <row r="526" spans="1:25" ht="21" customHeight="1">
      <c r="A526" s="215"/>
      <c r="B526" s="220"/>
      <c r="C526" s="223"/>
      <c r="D526" s="220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</row>
    <row r="527" spans="1:25" ht="21" customHeight="1">
      <c r="A527" s="215"/>
      <c r="B527" s="220"/>
      <c r="C527" s="223"/>
      <c r="D527" s="220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</row>
    <row r="528" spans="1:25" ht="21" customHeight="1">
      <c r="A528" s="215"/>
      <c r="B528" s="220"/>
      <c r="C528" s="223"/>
      <c r="D528" s="220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</row>
    <row r="529" spans="1:25" ht="21" customHeight="1">
      <c r="A529" s="215"/>
      <c r="B529" s="220"/>
      <c r="C529" s="223"/>
      <c r="D529" s="220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</row>
    <row r="530" spans="1:25" ht="21" customHeight="1">
      <c r="A530" s="215"/>
      <c r="B530" s="220"/>
      <c r="C530" s="223"/>
      <c r="D530" s="220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</row>
    <row r="531" spans="1:25" ht="21" customHeight="1">
      <c r="A531" s="215"/>
      <c r="B531" s="220"/>
      <c r="C531" s="223"/>
      <c r="D531" s="220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</row>
    <row r="532" spans="1:25" ht="21" customHeight="1">
      <c r="A532" s="215"/>
      <c r="B532" s="220"/>
      <c r="C532" s="223"/>
      <c r="D532" s="220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</row>
    <row r="533" spans="1:25" ht="21" customHeight="1">
      <c r="A533" s="215"/>
      <c r="B533" s="220"/>
      <c r="C533" s="223"/>
      <c r="D533" s="220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</row>
    <row r="534" spans="1:25" ht="21" customHeight="1">
      <c r="A534" s="215"/>
      <c r="B534" s="220"/>
      <c r="C534" s="223"/>
      <c r="D534" s="220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</row>
    <row r="535" spans="1:25" ht="21" customHeight="1">
      <c r="A535" s="215"/>
      <c r="B535" s="220"/>
      <c r="C535" s="223"/>
      <c r="D535" s="220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</row>
    <row r="536" spans="1:25" ht="21" customHeight="1">
      <c r="A536" s="215"/>
      <c r="B536" s="220"/>
      <c r="C536" s="223"/>
      <c r="D536" s="220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</row>
    <row r="537" spans="1:25" ht="21" customHeight="1">
      <c r="A537" s="215"/>
      <c r="B537" s="220"/>
      <c r="C537" s="223"/>
      <c r="D537" s="220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</row>
    <row r="538" spans="1:25" ht="21" customHeight="1">
      <c r="A538" s="215"/>
      <c r="B538" s="220"/>
      <c r="C538" s="223"/>
      <c r="D538" s="220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</row>
    <row r="539" spans="1:25" ht="21" customHeight="1">
      <c r="A539" s="215"/>
      <c r="B539" s="220"/>
      <c r="C539" s="223"/>
      <c r="D539" s="220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</row>
    <row r="540" spans="1:25" ht="21" customHeight="1">
      <c r="A540" s="215"/>
      <c r="B540" s="220"/>
      <c r="C540" s="223"/>
      <c r="D540" s="220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</row>
    <row r="541" spans="1:25" ht="21" customHeight="1">
      <c r="A541" s="215"/>
      <c r="B541" s="220"/>
      <c r="C541" s="223"/>
      <c r="D541" s="220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</row>
    <row r="542" spans="1:25" ht="21" customHeight="1">
      <c r="A542" s="215"/>
      <c r="B542" s="220"/>
      <c r="C542" s="223"/>
      <c r="D542" s="220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</row>
    <row r="543" spans="1:25" ht="21" customHeight="1">
      <c r="A543" s="215"/>
      <c r="B543" s="220"/>
      <c r="C543" s="223"/>
      <c r="D543" s="220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</row>
    <row r="544" spans="1:25" ht="21" customHeight="1">
      <c r="A544" s="215"/>
      <c r="B544" s="220"/>
      <c r="C544" s="223"/>
      <c r="D544" s="220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</row>
    <row r="545" spans="1:25" ht="21" customHeight="1">
      <c r="A545" s="215"/>
      <c r="B545" s="220"/>
      <c r="C545" s="223"/>
      <c r="D545" s="220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</row>
    <row r="546" spans="1:25" ht="21" customHeight="1">
      <c r="A546" s="215"/>
      <c r="B546" s="220"/>
      <c r="C546" s="223"/>
      <c r="D546" s="220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</row>
    <row r="547" spans="1:25" ht="21" customHeight="1">
      <c r="A547" s="215"/>
      <c r="B547" s="220"/>
      <c r="C547" s="223"/>
      <c r="D547" s="220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</row>
    <row r="548" spans="1:25" ht="21" customHeight="1">
      <c r="A548" s="215"/>
      <c r="B548" s="220"/>
      <c r="C548" s="223"/>
      <c r="D548" s="220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</row>
    <row r="549" spans="1:25" ht="21" customHeight="1">
      <c r="A549" s="215"/>
      <c r="B549" s="220"/>
      <c r="C549" s="223"/>
      <c r="D549" s="220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</row>
    <row r="550" spans="1:25" ht="21" customHeight="1">
      <c r="A550" s="215"/>
      <c r="B550" s="220"/>
      <c r="C550" s="223"/>
      <c r="D550" s="220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</row>
    <row r="551" spans="1:25" ht="21" customHeight="1">
      <c r="A551" s="215"/>
      <c r="B551" s="220"/>
      <c r="C551" s="223"/>
      <c r="D551" s="220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</row>
    <row r="552" spans="1:25" ht="21" customHeight="1">
      <c r="A552" s="215"/>
      <c r="B552" s="220"/>
      <c r="C552" s="223"/>
      <c r="D552" s="220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</row>
    <row r="553" spans="1:25" ht="21" customHeight="1">
      <c r="A553" s="215"/>
      <c r="B553" s="220"/>
      <c r="C553" s="223"/>
      <c r="D553" s="220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</row>
    <row r="554" spans="1:25" ht="21" customHeight="1">
      <c r="A554" s="215"/>
      <c r="B554" s="220"/>
      <c r="C554" s="223"/>
      <c r="D554" s="220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</row>
    <row r="555" spans="1:25" ht="21" customHeight="1">
      <c r="A555" s="215"/>
      <c r="B555" s="220"/>
      <c r="C555" s="223"/>
      <c r="D555" s="220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</row>
    <row r="556" spans="1:25" ht="21" customHeight="1">
      <c r="A556" s="215"/>
      <c r="B556" s="220"/>
      <c r="C556" s="223"/>
      <c r="D556" s="220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</row>
    <row r="557" spans="1:25" ht="21" customHeight="1">
      <c r="A557" s="215"/>
      <c r="B557" s="220"/>
      <c r="C557" s="223"/>
      <c r="D557" s="220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</row>
    <row r="558" spans="1:25" ht="21" customHeight="1">
      <c r="A558" s="215"/>
      <c r="B558" s="220"/>
      <c r="C558" s="223"/>
      <c r="D558" s="220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</row>
    <row r="559" spans="1:25" ht="21" customHeight="1">
      <c r="A559" s="215"/>
      <c r="B559" s="220"/>
      <c r="C559" s="223"/>
      <c r="D559" s="220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</row>
    <row r="560" spans="1:25" ht="21" customHeight="1">
      <c r="A560" s="215"/>
      <c r="B560" s="220"/>
      <c r="C560" s="223"/>
      <c r="D560" s="220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</row>
    <row r="561" spans="1:25" ht="21" customHeight="1">
      <c r="A561" s="215"/>
      <c r="B561" s="220"/>
      <c r="C561" s="223"/>
      <c r="D561" s="220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</row>
    <row r="562" spans="1:25" ht="21" customHeight="1">
      <c r="A562" s="215"/>
      <c r="B562" s="220"/>
      <c r="C562" s="223"/>
      <c r="D562" s="220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</row>
    <row r="563" spans="1:25" ht="21" customHeight="1">
      <c r="A563" s="215"/>
      <c r="B563" s="220"/>
      <c r="C563" s="223"/>
      <c r="D563" s="220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</row>
    <row r="564" spans="1:25" ht="21" customHeight="1">
      <c r="A564" s="215"/>
      <c r="B564" s="220"/>
      <c r="C564" s="223"/>
      <c r="D564" s="220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</row>
    <row r="565" spans="1:25" ht="21" customHeight="1">
      <c r="A565" s="215"/>
      <c r="B565" s="220"/>
      <c r="C565" s="223"/>
      <c r="D565" s="220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</row>
    <row r="566" spans="1:25" ht="21" customHeight="1">
      <c r="A566" s="215"/>
      <c r="B566" s="220"/>
      <c r="C566" s="223"/>
      <c r="D566" s="220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</row>
    <row r="567" spans="1:25" ht="21" customHeight="1">
      <c r="A567" s="215"/>
      <c r="B567" s="220"/>
      <c r="C567" s="223"/>
      <c r="D567" s="220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</row>
    <row r="568" spans="1:25" ht="21" customHeight="1">
      <c r="A568" s="215"/>
      <c r="B568" s="220"/>
      <c r="C568" s="223"/>
      <c r="D568" s="220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</row>
    <row r="569" spans="1:25" ht="21" customHeight="1">
      <c r="A569" s="215"/>
      <c r="B569" s="220"/>
      <c r="C569" s="223"/>
      <c r="D569" s="220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</row>
    <row r="570" spans="1:25" ht="21" customHeight="1">
      <c r="A570" s="215"/>
      <c r="B570" s="220"/>
      <c r="C570" s="223"/>
      <c r="D570" s="220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</row>
    <row r="571" spans="1:25" ht="21" customHeight="1">
      <c r="A571" s="215"/>
      <c r="B571" s="220"/>
      <c r="C571" s="223"/>
      <c r="D571" s="220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</row>
    <row r="572" spans="1:25" ht="21" customHeight="1">
      <c r="A572" s="215"/>
      <c r="B572" s="220"/>
      <c r="C572" s="223"/>
      <c r="D572" s="220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</row>
    <row r="573" spans="1:25" ht="21" customHeight="1">
      <c r="A573" s="215"/>
      <c r="B573" s="220"/>
      <c r="C573" s="223"/>
      <c r="D573" s="220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</row>
    <row r="574" spans="1:25" ht="21" customHeight="1">
      <c r="A574" s="215"/>
      <c r="B574" s="220"/>
      <c r="C574" s="223"/>
      <c r="D574" s="220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</row>
    <row r="575" spans="1:25" ht="21" customHeight="1">
      <c r="A575" s="215"/>
      <c r="B575" s="220"/>
      <c r="C575" s="223"/>
      <c r="D575" s="220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</row>
    <row r="576" spans="1:25" ht="21" customHeight="1">
      <c r="A576" s="215"/>
      <c r="B576" s="220"/>
      <c r="C576" s="223"/>
      <c r="D576" s="220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</row>
    <row r="577" spans="1:25" ht="21" customHeight="1">
      <c r="A577" s="215"/>
      <c r="B577" s="220"/>
      <c r="C577" s="223"/>
      <c r="D577" s="220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</row>
    <row r="578" spans="1:25" ht="21" customHeight="1">
      <c r="A578" s="215"/>
      <c r="B578" s="220"/>
      <c r="C578" s="223"/>
      <c r="D578" s="220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</row>
    <row r="579" spans="1:25" ht="21" customHeight="1">
      <c r="A579" s="215"/>
      <c r="B579" s="220"/>
      <c r="C579" s="223"/>
      <c r="D579" s="220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</row>
    <row r="580" spans="1:25" ht="21" customHeight="1">
      <c r="A580" s="215"/>
      <c r="B580" s="220"/>
      <c r="C580" s="223"/>
      <c r="D580" s="220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</row>
    <row r="581" spans="1:25" ht="21" customHeight="1">
      <c r="A581" s="215"/>
      <c r="B581" s="220"/>
      <c r="C581" s="223"/>
      <c r="D581" s="220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</row>
    <row r="582" spans="1:25" ht="21" customHeight="1">
      <c r="A582" s="215"/>
      <c r="B582" s="220"/>
      <c r="C582" s="223"/>
      <c r="D582" s="220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</row>
    <row r="583" spans="1:25" ht="21" customHeight="1">
      <c r="A583" s="215"/>
      <c r="B583" s="220"/>
      <c r="C583" s="223"/>
      <c r="D583" s="220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</row>
    <row r="584" spans="1:25" ht="21" customHeight="1">
      <c r="A584" s="215"/>
      <c r="B584" s="220"/>
      <c r="C584" s="223"/>
      <c r="D584" s="220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</row>
    <row r="585" spans="1:25" ht="21" customHeight="1">
      <c r="A585" s="215"/>
      <c r="B585" s="220"/>
      <c r="C585" s="223"/>
      <c r="D585" s="220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</row>
    <row r="586" spans="1:25" ht="21" customHeight="1">
      <c r="A586" s="215"/>
      <c r="B586" s="220"/>
      <c r="C586" s="223"/>
      <c r="D586" s="220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</row>
    <row r="587" spans="1:25" ht="21" customHeight="1">
      <c r="A587" s="215"/>
      <c r="B587" s="220"/>
      <c r="C587" s="223"/>
      <c r="D587" s="220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</row>
    <row r="588" spans="1:25" ht="21" customHeight="1">
      <c r="A588" s="215"/>
      <c r="B588" s="220"/>
      <c r="C588" s="223"/>
      <c r="D588" s="220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</row>
    <row r="589" spans="1:25" ht="21" customHeight="1">
      <c r="A589" s="215"/>
      <c r="B589" s="220"/>
      <c r="C589" s="223"/>
      <c r="D589" s="220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</row>
    <row r="590" spans="1:25" ht="21" customHeight="1">
      <c r="A590" s="215"/>
      <c r="B590" s="220"/>
      <c r="C590" s="223"/>
      <c r="D590" s="220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</row>
    <row r="591" spans="1:25" ht="21" customHeight="1">
      <c r="A591" s="215"/>
      <c r="B591" s="220"/>
      <c r="C591" s="223"/>
      <c r="D591" s="220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</row>
    <row r="592" spans="1:25" ht="21" customHeight="1">
      <c r="A592" s="215"/>
      <c r="B592" s="220"/>
      <c r="C592" s="223"/>
      <c r="D592" s="220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</row>
    <row r="593" spans="1:25" ht="21" customHeight="1">
      <c r="A593" s="215"/>
      <c r="B593" s="220"/>
      <c r="C593" s="223"/>
      <c r="D593" s="220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</row>
    <row r="594" spans="1:25" ht="21" customHeight="1">
      <c r="A594" s="215"/>
      <c r="B594" s="220"/>
      <c r="C594" s="223"/>
      <c r="D594" s="220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</row>
    <row r="595" spans="1:25" ht="21" customHeight="1">
      <c r="A595" s="215"/>
      <c r="B595" s="220"/>
      <c r="C595" s="223"/>
      <c r="D595" s="220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</row>
    <row r="596" spans="1:25" ht="21" customHeight="1">
      <c r="A596" s="215"/>
      <c r="B596" s="220"/>
      <c r="C596" s="223"/>
      <c r="D596" s="220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</row>
    <row r="597" spans="1:25" ht="21" customHeight="1">
      <c r="A597" s="215"/>
      <c r="B597" s="220"/>
      <c r="C597" s="223"/>
      <c r="D597" s="220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</row>
    <row r="598" spans="1:25" ht="21" customHeight="1">
      <c r="A598" s="215"/>
      <c r="B598" s="220"/>
      <c r="C598" s="223"/>
      <c r="D598" s="220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</row>
    <row r="599" spans="1:25" ht="21" customHeight="1">
      <c r="A599" s="215"/>
      <c r="B599" s="220"/>
      <c r="C599" s="223"/>
      <c r="D599" s="220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</row>
    <row r="600" spans="1:25" ht="21" customHeight="1">
      <c r="A600" s="215"/>
      <c r="B600" s="220"/>
      <c r="C600" s="223"/>
      <c r="D600" s="220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</row>
    <row r="601" spans="1:25" ht="21" customHeight="1">
      <c r="A601" s="215"/>
      <c r="B601" s="220"/>
      <c r="C601" s="223"/>
      <c r="D601" s="220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</row>
    <row r="602" spans="1:25" ht="21" customHeight="1">
      <c r="A602" s="215"/>
      <c r="B602" s="220"/>
      <c r="C602" s="223"/>
      <c r="D602" s="220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</row>
    <row r="603" spans="1:25" ht="21" customHeight="1">
      <c r="A603" s="215"/>
      <c r="B603" s="220"/>
      <c r="C603" s="223"/>
      <c r="D603" s="220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</row>
    <row r="604" spans="1:25" ht="21" customHeight="1">
      <c r="A604" s="215"/>
      <c r="B604" s="220"/>
      <c r="C604" s="223"/>
      <c r="D604" s="220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</row>
    <row r="605" spans="1:25" ht="21" customHeight="1">
      <c r="A605" s="215"/>
      <c r="B605" s="220"/>
      <c r="C605" s="223"/>
      <c r="D605" s="220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</row>
    <row r="606" spans="1:25" ht="21" customHeight="1">
      <c r="A606" s="215"/>
      <c r="B606" s="220"/>
      <c r="C606" s="223"/>
      <c r="D606" s="220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</row>
    <row r="607" spans="1:25" ht="21" customHeight="1">
      <c r="A607" s="215"/>
      <c r="B607" s="220"/>
      <c r="C607" s="223"/>
      <c r="D607" s="220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</row>
    <row r="608" spans="1:25" ht="21" customHeight="1">
      <c r="A608" s="215"/>
      <c r="B608" s="220"/>
      <c r="C608" s="223"/>
      <c r="D608" s="220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</row>
    <row r="609" spans="1:25" ht="21" customHeight="1">
      <c r="A609" s="215"/>
      <c r="B609" s="220"/>
      <c r="C609" s="223"/>
      <c r="D609" s="220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</row>
    <row r="610" spans="1:25" ht="21" customHeight="1">
      <c r="A610" s="215"/>
      <c r="B610" s="220"/>
      <c r="C610" s="223"/>
      <c r="D610" s="220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</row>
    <row r="611" spans="1:25" ht="21" customHeight="1">
      <c r="A611" s="215"/>
      <c r="B611" s="220"/>
      <c r="C611" s="223"/>
      <c r="D611" s="220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</row>
    <row r="612" spans="1:25" ht="21" customHeight="1">
      <c r="A612" s="215"/>
      <c r="B612" s="220"/>
      <c r="C612" s="223"/>
      <c r="D612" s="220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</row>
    <row r="613" spans="1:25" ht="21" customHeight="1">
      <c r="A613" s="215"/>
      <c r="B613" s="220"/>
      <c r="C613" s="223"/>
      <c r="D613" s="220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</row>
    <row r="614" spans="1:25" ht="21" customHeight="1">
      <c r="A614" s="215"/>
      <c r="B614" s="220"/>
      <c r="C614" s="223"/>
      <c r="D614" s="220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</row>
    <row r="615" spans="1:25" ht="21" customHeight="1">
      <c r="A615" s="215"/>
      <c r="B615" s="220"/>
      <c r="C615" s="223"/>
      <c r="D615" s="220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</row>
    <row r="616" spans="1:25" ht="21" customHeight="1">
      <c r="A616" s="215"/>
      <c r="B616" s="220"/>
      <c r="C616" s="223"/>
      <c r="D616" s="220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</row>
    <row r="617" spans="1:25" ht="21" customHeight="1">
      <c r="A617" s="215"/>
      <c r="B617" s="220"/>
      <c r="C617" s="223"/>
      <c r="D617" s="220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</row>
    <row r="618" spans="1:25" ht="21" customHeight="1">
      <c r="A618" s="215"/>
      <c r="B618" s="220"/>
      <c r="C618" s="223"/>
      <c r="D618" s="220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</row>
    <row r="619" spans="1:25" ht="21" customHeight="1">
      <c r="A619" s="215"/>
      <c r="B619" s="220"/>
      <c r="C619" s="223"/>
      <c r="D619" s="220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</row>
    <row r="620" spans="1:25" ht="21" customHeight="1">
      <c r="A620" s="215"/>
      <c r="B620" s="220"/>
      <c r="C620" s="223"/>
      <c r="D620" s="220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</row>
    <row r="621" spans="1:25" ht="21" customHeight="1">
      <c r="A621" s="215"/>
      <c r="B621" s="220"/>
      <c r="C621" s="223"/>
      <c r="D621" s="220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</row>
    <row r="622" spans="1:25" ht="21" customHeight="1">
      <c r="A622" s="215"/>
      <c r="B622" s="220"/>
      <c r="C622" s="223"/>
      <c r="D622" s="220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</row>
    <row r="623" spans="1:25" ht="21" customHeight="1">
      <c r="A623" s="215"/>
      <c r="B623" s="220"/>
      <c r="C623" s="223"/>
      <c r="D623" s="220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</row>
    <row r="624" spans="1:25" ht="21" customHeight="1">
      <c r="A624" s="215"/>
      <c r="B624" s="220"/>
      <c r="C624" s="223"/>
      <c r="D624" s="220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</row>
    <row r="625" spans="1:25" ht="21" customHeight="1">
      <c r="A625" s="215"/>
      <c r="B625" s="220"/>
      <c r="C625" s="223"/>
      <c r="D625" s="220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</row>
    <row r="626" spans="1:25" ht="21" customHeight="1">
      <c r="A626" s="215"/>
      <c r="B626" s="220"/>
      <c r="C626" s="223"/>
      <c r="D626" s="220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</row>
    <row r="627" spans="1:25" ht="21" customHeight="1">
      <c r="A627" s="215"/>
      <c r="B627" s="220"/>
      <c r="C627" s="223"/>
      <c r="D627" s="220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</row>
    <row r="628" spans="1:25" ht="21" customHeight="1">
      <c r="A628" s="215"/>
      <c r="B628" s="220"/>
      <c r="C628" s="223"/>
      <c r="D628" s="220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</row>
    <row r="629" spans="1:25" ht="21" customHeight="1">
      <c r="A629" s="215"/>
      <c r="B629" s="220"/>
      <c r="C629" s="223"/>
      <c r="D629" s="220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</row>
    <row r="630" spans="1:25" ht="21" customHeight="1">
      <c r="A630" s="215"/>
      <c r="B630" s="220"/>
      <c r="C630" s="223"/>
      <c r="D630" s="220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</row>
    <row r="631" spans="1:25" ht="21" customHeight="1">
      <c r="A631" s="215"/>
      <c r="B631" s="220"/>
      <c r="C631" s="223"/>
      <c r="D631" s="220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</row>
    <row r="632" spans="1:25" ht="21" customHeight="1">
      <c r="A632" s="215"/>
      <c r="B632" s="220"/>
      <c r="C632" s="223"/>
      <c r="D632" s="220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</row>
    <row r="633" spans="1:25" ht="21" customHeight="1">
      <c r="A633" s="215"/>
      <c r="B633" s="220"/>
      <c r="C633" s="223"/>
      <c r="D633" s="220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</row>
    <row r="634" spans="1:25" ht="21" customHeight="1">
      <c r="A634" s="215"/>
      <c r="B634" s="220"/>
      <c r="C634" s="223"/>
      <c r="D634" s="220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</row>
    <row r="635" spans="1:25" ht="21" customHeight="1">
      <c r="A635" s="215"/>
      <c r="B635" s="220"/>
      <c r="C635" s="223"/>
      <c r="D635" s="220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</row>
    <row r="636" spans="1:25" ht="21" customHeight="1">
      <c r="A636" s="215"/>
      <c r="B636" s="220"/>
      <c r="C636" s="223"/>
      <c r="D636" s="220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</row>
    <row r="637" spans="1:25" ht="21" customHeight="1">
      <c r="A637" s="215"/>
      <c r="B637" s="220"/>
      <c r="C637" s="223"/>
      <c r="D637" s="220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</row>
    <row r="638" spans="1:25" ht="21" customHeight="1">
      <c r="A638" s="215"/>
      <c r="B638" s="220"/>
      <c r="C638" s="223"/>
      <c r="D638" s="220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</row>
    <row r="639" spans="1:25" ht="21" customHeight="1">
      <c r="A639" s="215"/>
      <c r="B639" s="220"/>
      <c r="C639" s="223"/>
      <c r="D639" s="220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</row>
    <row r="640" spans="1:25" ht="21" customHeight="1">
      <c r="A640" s="215"/>
      <c r="B640" s="220"/>
      <c r="C640" s="223"/>
      <c r="D640" s="220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</row>
    <row r="641" spans="1:25" ht="21" customHeight="1">
      <c r="A641" s="215"/>
      <c r="B641" s="220"/>
      <c r="C641" s="223"/>
      <c r="D641" s="220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</row>
    <row r="642" spans="1:25" ht="21" customHeight="1">
      <c r="A642" s="215"/>
      <c r="B642" s="220"/>
      <c r="C642" s="223"/>
      <c r="D642" s="220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</row>
    <row r="643" spans="1:25" ht="21" customHeight="1">
      <c r="A643" s="215"/>
      <c r="B643" s="220"/>
      <c r="C643" s="223"/>
      <c r="D643" s="220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</row>
    <row r="644" spans="1:25" ht="21" customHeight="1">
      <c r="A644" s="215"/>
      <c r="B644" s="220"/>
      <c r="C644" s="223"/>
      <c r="D644" s="220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</row>
    <row r="645" spans="1:25" ht="21" customHeight="1">
      <c r="A645" s="215"/>
      <c r="B645" s="220"/>
      <c r="C645" s="223"/>
      <c r="D645" s="220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</row>
    <row r="646" spans="1:25" ht="21" customHeight="1">
      <c r="A646" s="215"/>
      <c r="B646" s="220"/>
      <c r="C646" s="223"/>
      <c r="D646" s="220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</row>
    <row r="647" spans="1:25" ht="21" customHeight="1">
      <c r="A647" s="215"/>
      <c r="B647" s="220"/>
      <c r="C647" s="223"/>
      <c r="D647" s="220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</row>
    <row r="648" spans="1:25" ht="21" customHeight="1">
      <c r="A648" s="215"/>
      <c r="B648" s="220"/>
      <c r="C648" s="223"/>
      <c r="D648" s="220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</row>
    <row r="649" spans="1:25" ht="21" customHeight="1">
      <c r="A649" s="215"/>
      <c r="B649" s="220"/>
      <c r="C649" s="223"/>
      <c r="D649" s="220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</row>
    <row r="650" spans="1:25" ht="21" customHeight="1">
      <c r="A650" s="215"/>
      <c r="B650" s="220"/>
      <c r="C650" s="223"/>
      <c r="D650" s="220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</row>
    <row r="651" spans="1:25" ht="21" customHeight="1">
      <c r="A651" s="215"/>
      <c r="B651" s="220"/>
      <c r="C651" s="223"/>
      <c r="D651" s="220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</row>
    <row r="652" spans="1:25" ht="21" customHeight="1">
      <c r="A652" s="215"/>
      <c r="B652" s="220"/>
      <c r="C652" s="223"/>
      <c r="D652" s="220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</row>
    <row r="653" spans="1:25" ht="21" customHeight="1">
      <c r="A653" s="215"/>
      <c r="B653" s="220"/>
      <c r="C653" s="223"/>
      <c r="D653" s="220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</row>
    <row r="654" spans="1:25" ht="21" customHeight="1">
      <c r="A654" s="215"/>
      <c r="B654" s="220"/>
      <c r="C654" s="223"/>
      <c r="D654" s="220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</row>
    <row r="655" spans="1:25" ht="21" customHeight="1">
      <c r="A655" s="215"/>
      <c r="B655" s="220"/>
      <c r="C655" s="223"/>
      <c r="D655" s="220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</row>
    <row r="656" spans="1:25" ht="21" customHeight="1">
      <c r="A656" s="215"/>
      <c r="B656" s="220"/>
      <c r="C656" s="223"/>
      <c r="D656" s="220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</row>
    <row r="657" spans="1:25" ht="21" customHeight="1">
      <c r="A657" s="215"/>
      <c r="B657" s="220"/>
      <c r="C657" s="223"/>
      <c r="D657" s="220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</row>
    <row r="658" spans="1:25" ht="21" customHeight="1">
      <c r="A658" s="215"/>
      <c r="B658" s="220"/>
      <c r="C658" s="223"/>
      <c r="D658" s="220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</row>
    <row r="659" spans="1:25" ht="21" customHeight="1">
      <c r="A659" s="215"/>
      <c r="B659" s="220"/>
      <c r="C659" s="223"/>
      <c r="D659" s="220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</row>
    <row r="660" spans="1:25" ht="21" customHeight="1">
      <c r="A660" s="215"/>
      <c r="B660" s="220"/>
      <c r="C660" s="223"/>
      <c r="D660" s="220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</row>
    <row r="661" spans="1:25" ht="21" customHeight="1">
      <c r="A661" s="215"/>
      <c r="B661" s="220"/>
      <c r="C661" s="223"/>
      <c r="D661" s="220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</row>
    <row r="662" spans="1:25" ht="21" customHeight="1">
      <c r="A662" s="215"/>
      <c r="B662" s="220"/>
      <c r="C662" s="223"/>
      <c r="D662" s="220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</row>
    <row r="663" spans="1:25" ht="21" customHeight="1">
      <c r="A663" s="215"/>
      <c r="B663" s="220"/>
      <c r="C663" s="223"/>
      <c r="D663" s="220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</row>
    <row r="664" spans="1:25" ht="21" customHeight="1">
      <c r="A664" s="215"/>
      <c r="B664" s="220"/>
      <c r="C664" s="223"/>
      <c r="D664" s="220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</row>
    <row r="665" spans="1:25" ht="21" customHeight="1">
      <c r="A665" s="215"/>
      <c r="B665" s="220"/>
      <c r="C665" s="223"/>
      <c r="D665" s="220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</row>
    <row r="666" spans="1:25" ht="21" customHeight="1">
      <c r="A666" s="215"/>
      <c r="B666" s="220"/>
      <c r="C666" s="223"/>
      <c r="D666" s="220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</row>
    <row r="667" spans="1:25" ht="21" customHeight="1">
      <c r="A667" s="215"/>
      <c r="B667" s="220"/>
      <c r="C667" s="223"/>
      <c r="D667" s="220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</row>
    <row r="668" spans="1:25" ht="21" customHeight="1">
      <c r="A668" s="215"/>
      <c r="B668" s="220"/>
      <c r="C668" s="223"/>
      <c r="D668" s="220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</row>
    <row r="669" spans="1:25" ht="21" customHeight="1">
      <c r="A669" s="215"/>
      <c r="B669" s="220"/>
      <c r="C669" s="223"/>
      <c r="D669" s="220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</row>
    <row r="670" spans="1:25" ht="21" customHeight="1">
      <c r="A670" s="215"/>
      <c r="B670" s="220"/>
      <c r="C670" s="223"/>
      <c r="D670" s="220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</row>
    <row r="671" spans="1:25" ht="21" customHeight="1">
      <c r="A671" s="215"/>
      <c r="B671" s="220"/>
      <c r="C671" s="223"/>
      <c r="D671" s="220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</row>
    <row r="672" spans="1:25" ht="21" customHeight="1">
      <c r="A672" s="215"/>
      <c r="B672" s="220"/>
      <c r="C672" s="223"/>
      <c r="D672" s="220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</row>
    <row r="673" spans="1:25" ht="21" customHeight="1">
      <c r="A673" s="215"/>
      <c r="B673" s="220"/>
      <c r="C673" s="223"/>
      <c r="D673" s="220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</row>
    <row r="674" spans="1:25" ht="21" customHeight="1">
      <c r="A674" s="215"/>
      <c r="B674" s="220"/>
      <c r="C674" s="223"/>
      <c r="D674" s="220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</row>
    <row r="675" spans="1:25" ht="21" customHeight="1">
      <c r="A675" s="215"/>
      <c r="B675" s="220"/>
      <c r="C675" s="223"/>
      <c r="D675" s="220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</row>
    <row r="676" spans="1:25" ht="21" customHeight="1">
      <c r="A676" s="215"/>
      <c r="B676" s="220"/>
      <c r="C676" s="223"/>
      <c r="D676" s="220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</row>
    <row r="677" spans="1:25" ht="21" customHeight="1">
      <c r="A677" s="215"/>
      <c r="B677" s="220"/>
      <c r="C677" s="223"/>
      <c r="D677" s="220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</row>
    <row r="678" spans="1:25" ht="21" customHeight="1">
      <c r="A678" s="215"/>
      <c r="B678" s="220"/>
      <c r="C678" s="223"/>
      <c r="D678" s="220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</row>
    <row r="679" spans="1:25" ht="21" customHeight="1">
      <c r="A679" s="215"/>
      <c r="B679" s="220"/>
      <c r="C679" s="223"/>
      <c r="D679" s="220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</row>
    <row r="680" spans="1:25" ht="21" customHeight="1">
      <c r="A680" s="215"/>
      <c r="B680" s="220"/>
      <c r="C680" s="223"/>
      <c r="D680" s="220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</row>
    <row r="681" spans="1:25" ht="21" customHeight="1">
      <c r="A681" s="215"/>
      <c r="B681" s="220"/>
      <c r="C681" s="223"/>
      <c r="D681" s="220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</row>
    <row r="682" spans="1:25" ht="21" customHeight="1">
      <c r="A682" s="215"/>
      <c r="B682" s="220"/>
      <c r="C682" s="223"/>
      <c r="D682" s="220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</row>
    <row r="683" spans="1:25" ht="21" customHeight="1">
      <c r="A683" s="215"/>
      <c r="B683" s="220"/>
      <c r="C683" s="223"/>
      <c r="D683" s="220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</row>
    <row r="684" spans="1:25" ht="21" customHeight="1">
      <c r="A684" s="215"/>
      <c r="B684" s="220"/>
      <c r="C684" s="223"/>
      <c r="D684" s="220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</row>
    <row r="685" spans="1:25" ht="21" customHeight="1">
      <c r="A685" s="215"/>
      <c r="B685" s="220"/>
      <c r="C685" s="223"/>
      <c r="D685" s="220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</row>
    <row r="686" spans="1:25" ht="21" customHeight="1">
      <c r="A686" s="215"/>
      <c r="B686" s="220"/>
      <c r="C686" s="223"/>
      <c r="D686" s="220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</row>
    <row r="687" spans="1:25" ht="21" customHeight="1">
      <c r="A687" s="215"/>
      <c r="B687" s="220"/>
      <c r="C687" s="223"/>
      <c r="D687" s="220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</row>
    <row r="688" spans="1:25" ht="21" customHeight="1">
      <c r="A688" s="215"/>
      <c r="B688" s="220"/>
      <c r="C688" s="223"/>
      <c r="D688" s="220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</row>
    <row r="689" spans="1:25" ht="21" customHeight="1">
      <c r="A689" s="215"/>
      <c r="B689" s="220"/>
      <c r="C689" s="223"/>
      <c r="D689" s="220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</row>
    <row r="690" spans="1:25" ht="21" customHeight="1">
      <c r="A690" s="215"/>
      <c r="B690" s="220"/>
      <c r="C690" s="223"/>
      <c r="D690" s="220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</row>
    <row r="691" spans="1:25" ht="21" customHeight="1">
      <c r="A691" s="215"/>
      <c r="B691" s="220"/>
      <c r="C691" s="223"/>
      <c r="D691" s="220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</row>
    <row r="692" spans="1:25" ht="21" customHeight="1">
      <c r="A692" s="215"/>
      <c r="B692" s="220"/>
      <c r="C692" s="223"/>
      <c r="D692" s="220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</row>
    <row r="693" spans="1:25" ht="21" customHeight="1">
      <c r="A693" s="215"/>
      <c r="B693" s="220"/>
      <c r="C693" s="223"/>
      <c r="D693" s="220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</row>
    <row r="694" spans="1:25" ht="21" customHeight="1">
      <c r="A694" s="215"/>
      <c r="B694" s="220"/>
      <c r="C694" s="223"/>
      <c r="D694" s="220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</row>
    <row r="695" spans="1:25" ht="21" customHeight="1">
      <c r="A695" s="215"/>
      <c r="B695" s="220"/>
      <c r="C695" s="223"/>
      <c r="D695" s="220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</row>
    <row r="696" spans="1:25" ht="21" customHeight="1">
      <c r="A696" s="215"/>
      <c r="B696" s="220"/>
      <c r="C696" s="223"/>
      <c r="D696" s="220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</row>
    <row r="697" spans="1:25" ht="21" customHeight="1">
      <c r="A697" s="215"/>
      <c r="B697" s="220"/>
      <c r="C697" s="223"/>
      <c r="D697" s="220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</row>
    <row r="698" spans="1:25" ht="21" customHeight="1">
      <c r="A698" s="215"/>
      <c r="B698" s="220"/>
      <c r="C698" s="223"/>
      <c r="D698" s="220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</row>
    <row r="699" spans="1:25" ht="21" customHeight="1">
      <c r="A699" s="215"/>
      <c r="B699" s="220"/>
      <c r="C699" s="223"/>
      <c r="D699" s="220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</row>
    <row r="700" spans="1:25" ht="21" customHeight="1">
      <c r="A700" s="215"/>
      <c r="B700" s="220"/>
      <c r="C700" s="223"/>
      <c r="D700" s="220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</row>
    <row r="701" spans="1:25" ht="21" customHeight="1">
      <c r="A701" s="215"/>
      <c r="B701" s="220"/>
      <c r="C701" s="223"/>
      <c r="D701" s="220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</row>
    <row r="702" spans="1:25" ht="21" customHeight="1">
      <c r="A702" s="215"/>
      <c r="B702" s="220"/>
      <c r="C702" s="223"/>
      <c r="D702" s="220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</row>
    <row r="703" spans="1:25" ht="21" customHeight="1">
      <c r="A703" s="215"/>
      <c r="B703" s="220"/>
      <c r="C703" s="223"/>
      <c r="D703" s="220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</row>
    <row r="704" spans="1:25" ht="21" customHeight="1">
      <c r="A704" s="215"/>
      <c r="B704" s="220"/>
      <c r="C704" s="223"/>
      <c r="D704" s="220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</row>
    <row r="705" spans="1:25" ht="21" customHeight="1">
      <c r="A705" s="215"/>
      <c r="B705" s="220"/>
      <c r="C705" s="223"/>
      <c r="D705" s="220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</row>
    <row r="706" spans="1:25" ht="21" customHeight="1">
      <c r="A706" s="215"/>
      <c r="B706" s="220"/>
      <c r="C706" s="223"/>
      <c r="D706" s="220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</row>
    <row r="707" spans="1:25" ht="21" customHeight="1">
      <c r="A707" s="215"/>
      <c r="B707" s="220"/>
      <c r="C707" s="223"/>
      <c r="D707" s="220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</row>
    <row r="708" spans="1:25" ht="21" customHeight="1">
      <c r="A708" s="215"/>
      <c r="B708" s="220"/>
      <c r="C708" s="223"/>
      <c r="D708" s="220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</row>
    <row r="709" spans="1:25" ht="21" customHeight="1">
      <c r="A709" s="215"/>
      <c r="B709" s="220"/>
      <c r="C709" s="223"/>
      <c r="D709" s="220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</row>
    <row r="710" spans="1:25" ht="21" customHeight="1">
      <c r="A710" s="215"/>
      <c r="B710" s="220"/>
      <c r="C710" s="223"/>
      <c r="D710" s="220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</row>
    <row r="711" spans="1:25" ht="21" customHeight="1">
      <c r="A711" s="215"/>
      <c r="B711" s="220"/>
      <c r="C711" s="223"/>
      <c r="D711" s="220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</row>
    <row r="712" spans="1:25" ht="21" customHeight="1">
      <c r="A712" s="215"/>
      <c r="B712" s="220"/>
      <c r="C712" s="223"/>
      <c r="D712" s="220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</row>
    <row r="713" spans="1:25" ht="21" customHeight="1">
      <c r="A713" s="215"/>
      <c r="B713" s="220"/>
      <c r="C713" s="223"/>
      <c r="D713" s="220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</row>
    <row r="714" spans="1:25" ht="21" customHeight="1">
      <c r="A714" s="215"/>
      <c r="B714" s="220"/>
      <c r="C714" s="223"/>
      <c r="D714" s="220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</row>
    <row r="715" spans="1:25" ht="21" customHeight="1">
      <c r="A715" s="215"/>
      <c r="B715" s="220"/>
      <c r="C715" s="223"/>
      <c r="D715" s="220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</row>
    <row r="716" spans="1:25" ht="21" customHeight="1">
      <c r="A716" s="215"/>
      <c r="B716" s="220"/>
      <c r="C716" s="223"/>
      <c r="D716" s="220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</row>
    <row r="717" spans="1:25" ht="21" customHeight="1">
      <c r="A717" s="215"/>
      <c r="B717" s="220"/>
      <c r="C717" s="223"/>
      <c r="D717" s="220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</row>
    <row r="718" spans="1:25" ht="21" customHeight="1">
      <c r="A718" s="215"/>
      <c r="B718" s="220"/>
      <c r="C718" s="223"/>
      <c r="D718" s="220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</row>
    <row r="719" spans="1:25" ht="21" customHeight="1">
      <c r="A719" s="215"/>
      <c r="B719" s="220"/>
      <c r="C719" s="223"/>
      <c r="D719" s="220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</row>
    <row r="720" spans="1:25" ht="21" customHeight="1">
      <c r="A720" s="215"/>
      <c r="B720" s="220"/>
      <c r="C720" s="223"/>
      <c r="D720" s="220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</row>
    <row r="721" spans="1:25" ht="21" customHeight="1">
      <c r="A721" s="215"/>
      <c r="B721" s="220"/>
      <c r="C721" s="223"/>
      <c r="D721" s="220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</row>
    <row r="722" spans="1:25" ht="21" customHeight="1">
      <c r="A722" s="215"/>
      <c r="B722" s="220"/>
      <c r="C722" s="223"/>
      <c r="D722" s="220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</row>
    <row r="723" spans="1:25" ht="21" customHeight="1">
      <c r="A723" s="215"/>
      <c r="B723" s="220"/>
      <c r="C723" s="223"/>
      <c r="D723" s="220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</row>
    <row r="724" spans="1:25" ht="21" customHeight="1">
      <c r="A724" s="215"/>
      <c r="B724" s="220"/>
      <c r="C724" s="223"/>
      <c r="D724" s="220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</row>
    <row r="725" spans="1:25" ht="21" customHeight="1">
      <c r="A725" s="215"/>
      <c r="B725" s="220"/>
      <c r="C725" s="223"/>
      <c r="D725" s="220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</row>
    <row r="726" spans="1:25" ht="21" customHeight="1">
      <c r="A726" s="215"/>
      <c r="B726" s="220"/>
      <c r="C726" s="223"/>
      <c r="D726" s="220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</row>
    <row r="727" spans="1:25" ht="21" customHeight="1">
      <c r="A727" s="215"/>
      <c r="B727" s="220"/>
      <c r="C727" s="223"/>
      <c r="D727" s="220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</row>
    <row r="728" spans="1:25" ht="21" customHeight="1">
      <c r="A728" s="215"/>
      <c r="B728" s="220"/>
      <c r="C728" s="223"/>
      <c r="D728" s="220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</row>
    <row r="729" spans="1:25" ht="21" customHeight="1">
      <c r="A729" s="215"/>
      <c r="B729" s="220"/>
      <c r="C729" s="223"/>
      <c r="D729" s="220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</row>
    <row r="730" spans="1:25" ht="21" customHeight="1">
      <c r="A730" s="215"/>
      <c r="B730" s="220"/>
      <c r="C730" s="223"/>
      <c r="D730" s="220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</row>
    <row r="731" spans="1:25" ht="21" customHeight="1">
      <c r="A731" s="215"/>
      <c r="B731" s="220"/>
      <c r="C731" s="223"/>
      <c r="D731" s="220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</row>
    <row r="732" spans="1:25" ht="21" customHeight="1">
      <c r="A732" s="215"/>
      <c r="B732" s="220"/>
      <c r="C732" s="223"/>
      <c r="D732" s="220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</row>
    <row r="733" spans="1:25" ht="21" customHeight="1">
      <c r="A733" s="215"/>
      <c r="B733" s="220"/>
      <c r="C733" s="223"/>
      <c r="D733" s="220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</row>
    <row r="734" spans="1:25" ht="21" customHeight="1">
      <c r="A734" s="215"/>
      <c r="B734" s="220"/>
      <c r="C734" s="223"/>
      <c r="D734" s="220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</row>
    <row r="735" spans="1:25" ht="21" customHeight="1">
      <c r="A735" s="215"/>
      <c r="B735" s="220"/>
      <c r="C735" s="223"/>
      <c r="D735" s="220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</row>
    <row r="736" spans="1:25" ht="21" customHeight="1">
      <c r="A736" s="215"/>
      <c r="B736" s="220"/>
      <c r="C736" s="223"/>
      <c r="D736" s="220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</row>
    <row r="737" spans="1:25" ht="21" customHeight="1">
      <c r="A737" s="215"/>
      <c r="B737" s="220"/>
      <c r="C737" s="223"/>
      <c r="D737" s="220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</row>
    <row r="738" spans="1:25" ht="21" customHeight="1">
      <c r="A738" s="215"/>
      <c r="B738" s="220"/>
      <c r="C738" s="223"/>
      <c r="D738" s="220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</row>
    <row r="739" spans="1:25" ht="21" customHeight="1">
      <c r="A739" s="215"/>
      <c r="B739" s="220"/>
      <c r="C739" s="223"/>
      <c r="D739" s="220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</row>
    <row r="740" spans="1:25" ht="21" customHeight="1">
      <c r="A740" s="215"/>
      <c r="B740" s="220"/>
      <c r="C740" s="223"/>
      <c r="D740" s="220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</row>
    <row r="741" spans="1:25" ht="21" customHeight="1">
      <c r="A741" s="215"/>
      <c r="B741" s="220"/>
      <c r="C741" s="223"/>
      <c r="D741" s="220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</row>
    <row r="742" spans="1:25" ht="21" customHeight="1">
      <c r="A742" s="215"/>
      <c r="B742" s="220"/>
      <c r="C742" s="223"/>
      <c r="D742" s="220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</row>
    <row r="743" spans="1:25" ht="21" customHeight="1">
      <c r="A743" s="215"/>
      <c r="B743" s="220"/>
      <c r="C743" s="223"/>
      <c r="D743" s="220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</row>
    <row r="744" spans="1:25" ht="21" customHeight="1">
      <c r="A744" s="215"/>
      <c r="B744" s="220"/>
      <c r="C744" s="223"/>
      <c r="D744" s="220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</row>
    <row r="745" spans="1:25" ht="21" customHeight="1">
      <c r="A745" s="215"/>
      <c r="B745" s="220"/>
      <c r="C745" s="223"/>
      <c r="D745" s="220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</row>
    <row r="746" spans="1:25" ht="21" customHeight="1">
      <c r="A746" s="215"/>
      <c r="B746" s="220"/>
      <c r="C746" s="223"/>
      <c r="D746" s="220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</row>
    <row r="747" spans="1:25" ht="21" customHeight="1">
      <c r="A747" s="215"/>
      <c r="B747" s="220"/>
      <c r="C747" s="223"/>
      <c r="D747" s="220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</row>
    <row r="748" spans="1:25" ht="21" customHeight="1">
      <c r="A748" s="215"/>
      <c r="B748" s="220"/>
      <c r="C748" s="223"/>
      <c r="D748" s="220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</row>
    <row r="749" spans="1:25" ht="21" customHeight="1">
      <c r="A749" s="215"/>
      <c r="B749" s="220"/>
      <c r="C749" s="223"/>
      <c r="D749" s="220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</row>
    <row r="750" spans="1:25" ht="21" customHeight="1">
      <c r="A750" s="215"/>
      <c r="B750" s="220"/>
      <c r="C750" s="223"/>
      <c r="D750" s="220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</row>
    <row r="751" spans="1:25" ht="21" customHeight="1">
      <c r="A751" s="215"/>
      <c r="B751" s="220"/>
      <c r="C751" s="223"/>
      <c r="D751" s="220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</row>
    <row r="752" spans="1:25" ht="21" customHeight="1">
      <c r="A752" s="215"/>
      <c r="B752" s="220"/>
      <c r="C752" s="223"/>
      <c r="D752" s="220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</row>
    <row r="753" spans="1:25" ht="21" customHeight="1">
      <c r="A753" s="215"/>
      <c r="B753" s="220"/>
      <c r="C753" s="223"/>
      <c r="D753" s="220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</row>
    <row r="754" spans="1:25" ht="21" customHeight="1">
      <c r="A754" s="215"/>
      <c r="B754" s="220"/>
      <c r="C754" s="223"/>
      <c r="D754" s="220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</row>
    <row r="755" spans="1:25" ht="21" customHeight="1">
      <c r="A755" s="215"/>
      <c r="B755" s="220"/>
      <c r="C755" s="223"/>
      <c r="D755" s="220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</row>
    <row r="756" spans="1:25" ht="21" customHeight="1">
      <c r="A756" s="215"/>
      <c r="B756" s="220"/>
      <c r="C756" s="223"/>
      <c r="D756" s="220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</row>
    <row r="757" spans="1:25" ht="21" customHeight="1">
      <c r="A757" s="215"/>
      <c r="B757" s="220"/>
      <c r="C757" s="223"/>
      <c r="D757" s="220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</row>
    <row r="758" spans="1:25" ht="21" customHeight="1">
      <c r="A758" s="215"/>
      <c r="B758" s="220"/>
      <c r="C758" s="223"/>
      <c r="D758" s="220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</row>
    <row r="759" spans="1:25" ht="21" customHeight="1">
      <c r="A759" s="215"/>
      <c r="B759" s="220"/>
      <c r="C759" s="223"/>
      <c r="D759" s="220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</row>
    <row r="760" spans="1:25" ht="21" customHeight="1">
      <c r="A760" s="215"/>
      <c r="B760" s="220"/>
      <c r="C760" s="223"/>
      <c r="D760" s="220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</row>
    <row r="761" spans="1:25" ht="21" customHeight="1">
      <c r="A761" s="215"/>
      <c r="B761" s="220"/>
      <c r="C761" s="223"/>
      <c r="D761" s="220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</row>
    <row r="762" spans="1:25" ht="21" customHeight="1">
      <c r="A762" s="215"/>
      <c r="B762" s="220"/>
      <c r="C762" s="223"/>
      <c r="D762" s="220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</row>
    <row r="763" spans="1:25" ht="21" customHeight="1">
      <c r="A763" s="215"/>
      <c r="B763" s="220"/>
      <c r="C763" s="223"/>
      <c r="D763" s="220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</row>
    <row r="764" spans="1:25" ht="21" customHeight="1">
      <c r="A764" s="215"/>
      <c r="B764" s="220"/>
      <c r="C764" s="223"/>
      <c r="D764" s="220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</row>
    <row r="765" spans="1:25" ht="21" customHeight="1">
      <c r="A765" s="215"/>
      <c r="B765" s="220"/>
      <c r="C765" s="223"/>
      <c r="D765" s="220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</row>
    <row r="766" spans="1:25" ht="21" customHeight="1">
      <c r="A766" s="215"/>
      <c r="B766" s="220"/>
      <c r="C766" s="223"/>
      <c r="D766" s="220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</row>
    <row r="767" spans="1:25" ht="21" customHeight="1">
      <c r="A767" s="215"/>
      <c r="B767" s="220"/>
      <c r="C767" s="223"/>
      <c r="D767" s="220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</row>
    <row r="768" spans="1:25" ht="21" customHeight="1">
      <c r="A768" s="215"/>
      <c r="B768" s="220"/>
      <c r="C768" s="223"/>
      <c r="D768" s="220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</row>
    <row r="769" spans="1:25" ht="21" customHeight="1">
      <c r="A769" s="215"/>
      <c r="B769" s="220"/>
      <c r="C769" s="223"/>
      <c r="D769" s="220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</row>
    <row r="770" spans="1:25" ht="21" customHeight="1">
      <c r="A770" s="215"/>
      <c r="B770" s="220"/>
      <c r="C770" s="223"/>
      <c r="D770" s="220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</row>
    <row r="771" spans="1:25" ht="21" customHeight="1">
      <c r="A771" s="215"/>
      <c r="B771" s="220"/>
      <c r="C771" s="223"/>
      <c r="D771" s="220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</row>
    <row r="772" spans="1:25" ht="21" customHeight="1">
      <c r="A772" s="215"/>
      <c r="B772" s="220"/>
      <c r="C772" s="223"/>
      <c r="D772" s="220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</row>
    <row r="773" spans="1:25" ht="21" customHeight="1">
      <c r="A773" s="215"/>
      <c r="B773" s="220"/>
      <c r="C773" s="223"/>
      <c r="D773" s="220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</row>
    <row r="774" spans="1:25" ht="21" customHeight="1">
      <c r="A774" s="215"/>
      <c r="B774" s="220"/>
      <c r="C774" s="223"/>
      <c r="D774" s="220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</row>
    <row r="775" spans="1:25" ht="21" customHeight="1">
      <c r="A775" s="215"/>
      <c r="B775" s="220"/>
      <c r="C775" s="223"/>
      <c r="D775" s="220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</row>
    <row r="776" spans="1:25" ht="21" customHeight="1">
      <c r="A776" s="215"/>
      <c r="B776" s="220"/>
      <c r="C776" s="223"/>
      <c r="D776" s="220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</row>
    <row r="777" spans="1:25" ht="21" customHeight="1">
      <c r="A777" s="215"/>
      <c r="B777" s="220"/>
      <c r="C777" s="223"/>
      <c r="D777" s="220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</row>
    <row r="778" spans="1:25" ht="21" customHeight="1">
      <c r="A778" s="215"/>
      <c r="B778" s="220"/>
      <c r="C778" s="223"/>
      <c r="D778" s="220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</row>
    <row r="779" spans="1:25" ht="21" customHeight="1">
      <c r="A779" s="215"/>
      <c r="B779" s="220"/>
      <c r="C779" s="223"/>
      <c r="D779" s="220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</row>
    <row r="780" spans="1:25" ht="21" customHeight="1">
      <c r="A780" s="215"/>
      <c r="B780" s="220"/>
      <c r="C780" s="223"/>
      <c r="D780" s="220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</row>
    <row r="781" spans="1:25" ht="21" customHeight="1">
      <c r="A781" s="215"/>
      <c r="B781" s="220"/>
      <c r="C781" s="223"/>
      <c r="D781" s="220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</row>
    <row r="782" spans="1:25" ht="21" customHeight="1">
      <c r="A782" s="215"/>
      <c r="B782" s="220"/>
      <c r="C782" s="223"/>
      <c r="D782" s="220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</row>
    <row r="783" spans="1:25" ht="21" customHeight="1">
      <c r="A783" s="215"/>
      <c r="B783" s="220"/>
      <c r="C783" s="223"/>
      <c r="D783" s="220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</row>
    <row r="784" spans="1:25" ht="21" customHeight="1">
      <c r="A784" s="215"/>
      <c r="B784" s="220"/>
      <c r="C784" s="223"/>
      <c r="D784" s="220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</row>
    <row r="785" spans="1:25" ht="21" customHeight="1">
      <c r="A785" s="215"/>
      <c r="B785" s="220"/>
      <c r="C785" s="223"/>
      <c r="D785" s="220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</row>
    <row r="786" spans="1:25" ht="21" customHeight="1">
      <c r="A786" s="215"/>
      <c r="B786" s="220"/>
      <c r="C786" s="223"/>
      <c r="D786" s="220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</row>
    <row r="787" spans="1:25" ht="21" customHeight="1">
      <c r="A787" s="215"/>
      <c r="B787" s="220"/>
      <c r="C787" s="223"/>
      <c r="D787" s="220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</row>
    <row r="788" spans="1:25" ht="21" customHeight="1">
      <c r="A788" s="215"/>
      <c r="B788" s="220"/>
      <c r="C788" s="223"/>
      <c r="D788" s="220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</row>
    <row r="789" spans="1:25" ht="21" customHeight="1">
      <c r="A789" s="215"/>
      <c r="B789" s="220"/>
      <c r="C789" s="223"/>
      <c r="D789" s="220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</row>
    <row r="790" spans="1:25" ht="21" customHeight="1">
      <c r="A790" s="215"/>
      <c r="B790" s="220"/>
      <c r="C790" s="223"/>
      <c r="D790" s="220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</row>
    <row r="791" spans="1:25" ht="21" customHeight="1">
      <c r="A791" s="215"/>
      <c r="B791" s="220"/>
      <c r="C791" s="223"/>
      <c r="D791" s="220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</row>
    <row r="792" spans="1:25" ht="21" customHeight="1">
      <c r="A792" s="215"/>
      <c r="B792" s="220"/>
      <c r="C792" s="223"/>
      <c r="D792" s="220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</row>
    <row r="793" spans="1:25" ht="21" customHeight="1">
      <c r="A793" s="215"/>
      <c r="B793" s="220"/>
      <c r="C793" s="223"/>
      <c r="D793" s="220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</row>
    <row r="794" spans="1:25" ht="21" customHeight="1">
      <c r="A794" s="215"/>
      <c r="B794" s="220"/>
      <c r="C794" s="223"/>
      <c r="D794" s="220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</row>
    <row r="795" spans="1:25" ht="21" customHeight="1">
      <c r="A795" s="215"/>
      <c r="B795" s="220"/>
      <c r="C795" s="223"/>
      <c r="D795" s="220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</row>
    <row r="796" spans="1:25" ht="21" customHeight="1">
      <c r="A796" s="215"/>
      <c r="B796" s="220"/>
      <c r="C796" s="223"/>
      <c r="D796" s="220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</row>
    <row r="797" spans="1:25" ht="21" customHeight="1">
      <c r="A797" s="215"/>
      <c r="B797" s="220"/>
      <c r="C797" s="223"/>
      <c r="D797" s="220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</row>
    <row r="798" spans="1:25" ht="21" customHeight="1">
      <c r="A798" s="215"/>
      <c r="B798" s="220"/>
      <c r="C798" s="223"/>
      <c r="D798" s="220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</row>
    <row r="799" spans="1:25" ht="21" customHeight="1">
      <c r="A799" s="215"/>
      <c r="B799" s="220"/>
      <c r="C799" s="223"/>
      <c r="D799" s="220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</row>
    <row r="800" spans="1:25" ht="21" customHeight="1">
      <c r="A800" s="215"/>
      <c r="B800" s="220"/>
      <c r="C800" s="223"/>
      <c r="D800" s="220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</row>
    <row r="801" spans="1:25" ht="21" customHeight="1">
      <c r="A801" s="215"/>
      <c r="B801" s="220"/>
      <c r="C801" s="223"/>
      <c r="D801" s="220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</row>
    <row r="802" spans="1:25" ht="21" customHeight="1">
      <c r="A802" s="215"/>
      <c r="B802" s="220"/>
      <c r="C802" s="223"/>
      <c r="D802" s="220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</row>
    <row r="803" spans="1:25" ht="21" customHeight="1">
      <c r="A803" s="215"/>
      <c r="B803" s="220"/>
      <c r="C803" s="223"/>
      <c r="D803" s="220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</row>
    <row r="804" spans="1:25" ht="21" customHeight="1">
      <c r="A804" s="215"/>
      <c r="B804" s="220"/>
      <c r="C804" s="223"/>
      <c r="D804" s="220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</row>
    <row r="805" spans="1:25" ht="21" customHeight="1">
      <c r="A805" s="215"/>
      <c r="B805" s="220"/>
      <c r="C805" s="223"/>
      <c r="D805" s="220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</row>
    <row r="806" spans="1:25" ht="21" customHeight="1">
      <c r="A806" s="215"/>
      <c r="B806" s="220"/>
      <c r="C806" s="223"/>
      <c r="D806" s="220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</row>
    <row r="807" spans="1:25" ht="21" customHeight="1">
      <c r="A807" s="215"/>
      <c r="B807" s="220"/>
      <c r="C807" s="223"/>
      <c r="D807" s="220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</row>
    <row r="808" spans="1:25" ht="21" customHeight="1">
      <c r="A808" s="215"/>
      <c r="B808" s="220"/>
      <c r="C808" s="223"/>
      <c r="D808" s="220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</row>
    <row r="809" spans="1:25" ht="21" customHeight="1">
      <c r="A809" s="215"/>
      <c r="B809" s="220"/>
      <c r="C809" s="223"/>
      <c r="D809" s="220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</row>
    <row r="810" spans="1:25" ht="21" customHeight="1">
      <c r="A810" s="215"/>
      <c r="B810" s="220"/>
      <c r="C810" s="223"/>
      <c r="D810" s="220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</row>
    <row r="811" spans="1:25" ht="21" customHeight="1">
      <c r="A811" s="215"/>
      <c r="B811" s="220"/>
      <c r="C811" s="223"/>
      <c r="D811" s="220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</row>
    <row r="812" spans="1:25" ht="21" customHeight="1">
      <c r="A812" s="215"/>
      <c r="B812" s="220"/>
      <c r="C812" s="223"/>
      <c r="D812" s="220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</row>
    <row r="813" spans="1:25" ht="21" customHeight="1">
      <c r="A813" s="215"/>
      <c r="B813" s="220"/>
      <c r="C813" s="223"/>
      <c r="D813" s="220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</row>
    <row r="814" spans="1:25" ht="21" customHeight="1">
      <c r="A814" s="215"/>
      <c r="B814" s="220"/>
      <c r="C814" s="223"/>
      <c r="D814" s="220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</row>
    <row r="815" spans="1:25" ht="21" customHeight="1">
      <c r="A815" s="215"/>
      <c r="B815" s="220"/>
      <c r="C815" s="223"/>
      <c r="D815" s="220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</row>
    <row r="816" spans="1:25" ht="21" customHeight="1">
      <c r="A816" s="215"/>
      <c r="B816" s="220"/>
      <c r="C816" s="223"/>
      <c r="D816" s="220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</row>
    <row r="817" spans="1:25" ht="21" customHeight="1">
      <c r="A817" s="215"/>
      <c r="B817" s="220"/>
      <c r="C817" s="223"/>
      <c r="D817" s="220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</row>
    <row r="818" spans="1:25" ht="21" customHeight="1">
      <c r="A818" s="215"/>
      <c r="B818" s="220"/>
      <c r="C818" s="223"/>
      <c r="D818" s="220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</row>
    <row r="819" spans="1:25" ht="21" customHeight="1">
      <c r="A819" s="215"/>
      <c r="B819" s="220"/>
      <c r="C819" s="223"/>
      <c r="D819" s="220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</row>
    <row r="820" spans="1:25" ht="21" customHeight="1">
      <c r="A820" s="215"/>
      <c r="B820" s="220"/>
      <c r="C820" s="223"/>
      <c r="D820" s="220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</row>
    <row r="821" spans="1:25" ht="21" customHeight="1">
      <c r="A821" s="215"/>
      <c r="B821" s="220"/>
      <c r="C821" s="223"/>
      <c r="D821" s="220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</row>
    <row r="822" spans="1:25" ht="21" customHeight="1">
      <c r="A822" s="215"/>
      <c r="B822" s="220"/>
      <c r="C822" s="223"/>
      <c r="D822" s="220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</row>
    <row r="823" spans="1:25" ht="21" customHeight="1">
      <c r="A823" s="215"/>
      <c r="B823" s="220"/>
      <c r="C823" s="223"/>
      <c r="D823" s="220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</row>
    <row r="824" spans="1:25" ht="21" customHeight="1">
      <c r="A824" s="215"/>
      <c r="B824" s="220"/>
      <c r="C824" s="223"/>
      <c r="D824" s="220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</row>
    <row r="825" spans="1:25" ht="21" customHeight="1">
      <c r="A825" s="215"/>
      <c r="B825" s="220"/>
      <c r="C825" s="223"/>
      <c r="D825" s="220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</row>
    <row r="826" spans="1:25" ht="21" customHeight="1">
      <c r="A826" s="215"/>
      <c r="B826" s="220"/>
      <c r="C826" s="223"/>
      <c r="D826" s="220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</row>
    <row r="827" spans="1:25" ht="21" customHeight="1">
      <c r="A827" s="215"/>
      <c r="B827" s="220"/>
      <c r="C827" s="223"/>
      <c r="D827" s="220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</row>
    <row r="828" spans="1:25" ht="21" customHeight="1">
      <c r="A828" s="215"/>
      <c r="B828" s="220"/>
      <c r="C828" s="223"/>
      <c r="D828" s="220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</row>
    <row r="829" spans="1:25" ht="21" customHeight="1">
      <c r="A829" s="215"/>
      <c r="B829" s="220"/>
      <c r="C829" s="223"/>
      <c r="D829" s="220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</row>
    <row r="830" spans="1:25" ht="21" customHeight="1">
      <c r="A830" s="215"/>
      <c r="B830" s="220"/>
      <c r="C830" s="223"/>
      <c r="D830" s="220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</row>
    <row r="831" spans="1:25" ht="21" customHeight="1">
      <c r="A831" s="215"/>
      <c r="B831" s="220"/>
      <c r="C831" s="223"/>
      <c r="D831" s="220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</row>
    <row r="832" spans="1:25" ht="21" customHeight="1">
      <c r="A832" s="215"/>
      <c r="B832" s="220"/>
      <c r="C832" s="223"/>
      <c r="D832" s="220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</row>
    <row r="833" spans="1:25" ht="21" customHeight="1">
      <c r="A833" s="215"/>
      <c r="B833" s="220"/>
      <c r="C833" s="223"/>
      <c r="D833" s="220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</row>
    <row r="834" spans="1:25" ht="21" customHeight="1">
      <c r="A834" s="215"/>
      <c r="B834" s="220"/>
      <c r="C834" s="223"/>
      <c r="D834" s="220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</row>
    <row r="835" spans="1:25" ht="21" customHeight="1">
      <c r="A835" s="215"/>
      <c r="B835" s="220"/>
      <c r="C835" s="223"/>
      <c r="D835" s="220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</row>
    <row r="836" spans="1:25" ht="21" customHeight="1">
      <c r="A836" s="215"/>
      <c r="B836" s="220"/>
      <c r="C836" s="223"/>
      <c r="D836" s="220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</row>
    <row r="837" spans="1:25" ht="21" customHeight="1">
      <c r="A837" s="215"/>
      <c r="B837" s="220"/>
      <c r="C837" s="223"/>
      <c r="D837" s="220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</row>
    <row r="838" spans="1:25" ht="21" customHeight="1">
      <c r="A838" s="215"/>
      <c r="B838" s="220"/>
      <c r="C838" s="223"/>
      <c r="D838" s="220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</row>
    <row r="839" spans="1:25" ht="21" customHeight="1">
      <c r="A839" s="215"/>
      <c r="B839" s="220"/>
      <c r="C839" s="223"/>
      <c r="D839" s="220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</row>
    <row r="840" spans="1:25" ht="21" customHeight="1">
      <c r="A840" s="215"/>
      <c r="B840" s="220"/>
      <c r="C840" s="223"/>
      <c r="D840" s="220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</row>
    <row r="841" spans="1:25" ht="21" customHeight="1">
      <c r="A841" s="215"/>
      <c r="B841" s="220"/>
      <c r="C841" s="223"/>
      <c r="D841" s="220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</row>
    <row r="842" spans="1:25" ht="21" customHeight="1">
      <c r="A842" s="215"/>
      <c r="B842" s="220"/>
      <c r="C842" s="223"/>
      <c r="D842" s="220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</row>
    <row r="843" spans="1:25" ht="21" customHeight="1">
      <c r="A843" s="215"/>
      <c r="B843" s="220"/>
      <c r="C843" s="223"/>
      <c r="D843" s="220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</row>
    <row r="844" spans="1:25" ht="21" customHeight="1">
      <c r="A844" s="215"/>
      <c r="B844" s="220"/>
      <c r="C844" s="223"/>
      <c r="D844" s="220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</row>
    <row r="845" spans="1:25" ht="21" customHeight="1">
      <c r="A845" s="215"/>
      <c r="B845" s="220"/>
      <c r="C845" s="223"/>
      <c r="D845" s="220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</row>
    <row r="846" spans="1:25" ht="21" customHeight="1">
      <c r="A846" s="215"/>
      <c r="B846" s="220"/>
      <c r="C846" s="223"/>
      <c r="D846" s="220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</row>
    <row r="847" spans="1:25" ht="21" customHeight="1">
      <c r="A847" s="215"/>
      <c r="B847" s="220"/>
      <c r="C847" s="223"/>
      <c r="D847" s="220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</row>
    <row r="848" spans="1:25" ht="21" customHeight="1">
      <c r="A848" s="215"/>
      <c r="B848" s="220"/>
      <c r="C848" s="223"/>
      <c r="D848" s="220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</row>
    <row r="849" spans="1:25" ht="21" customHeight="1">
      <c r="A849" s="215"/>
      <c r="B849" s="220"/>
      <c r="C849" s="223"/>
      <c r="D849" s="220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</row>
    <row r="850" spans="1:25" ht="21" customHeight="1">
      <c r="A850" s="215"/>
      <c r="B850" s="220"/>
      <c r="C850" s="223"/>
      <c r="D850" s="220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</row>
    <row r="851" spans="1:25" ht="21" customHeight="1">
      <c r="A851" s="215"/>
      <c r="B851" s="220"/>
      <c r="C851" s="223"/>
      <c r="D851" s="220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</row>
    <row r="852" spans="1:25" ht="21" customHeight="1">
      <c r="A852" s="215"/>
      <c r="B852" s="220"/>
      <c r="C852" s="223"/>
      <c r="D852" s="220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</row>
    <row r="853" spans="1:25" ht="21" customHeight="1">
      <c r="A853" s="215"/>
      <c r="B853" s="220"/>
      <c r="C853" s="223"/>
      <c r="D853" s="220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</row>
    <row r="854" spans="1:25" ht="21" customHeight="1">
      <c r="A854" s="215"/>
      <c r="B854" s="220"/>
      <c r="C854" s="223"/>
      <c r="D854" s="220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</row>
    <row r="855" spans="1:25" ht="21" customHeight="1">
      <c r="A855" s="215"/>
      <c r="B855" s="220"/>
      <c r="C855" s="223"/>
      <c r="D855" s="220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</row>
    <row r="856" spans="1:25" ht="21" customHeight="1">
      <c r="A856" s="215"/>
      <c r="B856" s="220"/>
      <c r="C856" s="223"/>
      <c r="D856" s="220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</row>
    <row r="857" spans="1:25" ht="21" customHeight="1">
      <c r="A857" s="215"/>
      <c r="B857" s="220"/>
      <c r="C857" s="223"/>
      <c r="D857" s="220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</row>
    <row r="858" spans="1:25" ht="21" customHeight="1">
      <c r="A858" s="215"/>
      <c r="B858" s="220"/>
      <c r="C858" s="223"/>
      <c r="D858" s="220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</row>
    <row r="859" spans="1:25" ht="21" customHeight="1">
      <c r="A859" s="215"/>
      <c r="B859" s="220"/>
      <c r="C859" s="223"/>
      <c r="D859" s="220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</row>
    <row r="860" spans="1:25" ht="21" customHeight="1">
      <c r="A860" s="215"/>
      <c r="B860" s="220"/>
      <c r="C860" s="223"/>
      <c r="D860" s="220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</row>
    <row r="861" spans="1:25" ht="21" customHeight="1">
      <c r="A861" s="215"/>
      <c r="B861" s="220"/>
      <c r="C861" s="223"/>
      <c r="D861" s="220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</row>
    <row r="862" spans="1:25" ht="21" customHeight="1">
      <c r="A862" s="215"/>
      <c r="B862" s="220"/>
      <c r="C862" s="223"/>
      <c r="D862" s="220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</row>
    <row r="863" spans="1:25" ht="21" customHeight="1">
      <c r="A863" s="215"/>
      <c r="B863" s="220"/>
      <c r="C863" s="223"/>
      <c r="D863" s="220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</row>
    <row r="864" spans="1:25" ht="21" customHeight="1">
      <c r="A864" s="215"/>
      <c r="B864" s="220"/>
      <c r="C864" s="223"/>
      <c r="D864" s="220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</row>
    <row r="865" spans="1:25" ht="21" customHeight="1">
      <c r="A865" s="215"/>
      <c r="B865" s="220"/>
      <c r="C865" s="223"/>
      <c r="D865" s="220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</row>
    <row r="866" spans="1:25" ht="21" customHeight="1">
      <c r="A866" s="215"/>
      <c r="B866" s="220"/>
      <c r="C866" s="223"/>
      <c r="D866" s="220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</row>
    <row r="867" spans="1:25" ht="21" customHeight="1">
      <c r="A867" s="215"/>
      <c r="B867" s="220"/>
      <c r="C867" s="223"/>
      <c r="D867" s="220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</row>
    <row r="868" spans="1:25" ht="21" customHeight="1">
      <c r="A868" s="215"/>
      <c r="B868" s="220"/>
      <c r="C868" s="223"/>
      <c r="D868" s="220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</row>
    <row r="869" spans="1:25" ht="21" customHeight="1">
      <c r="A869" s="215"/>
      <c r="B869" s="220"/>
      <c r="C869" s="223"/>
      <c r="D869" s="220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</row>
    <row r="870" spans="1:25" ht="21" customHeight="1">
      <c r="A870" s="215"/>
      <c r="B870" s="220"/>
      <c r="C870" s="223"/>
      <c r="D870" s="220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</row>
    <row r="871" spans="1:25" ht="21" customHeight="1">
      <c r="A871" s="215"/>
      <c r="B871" s="220"/>
      <c r="C871" s="223"/>
      <c r="D871" s="220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</row>
    <row r="872" spans="1:25" ht="21" customHeight="1">
      <c r="A872" s="215"/>
      <c r="B872" s="220"/>
      <c r="C872" s="223"/>
      <c r="D872" s="220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</row>
    <row r="873" spans="1:25" ht="21" customHeight="1">
      <c r="A873" s="215"/>
      <c r="B873" s="220"/>
      <c r="C873" s="223"/>
      <c r="D873" s="220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</row>
    <row r="874" spans="1:25" ht="21" customHeight="1">
      <c r="A874" s="215"/>
      <c r="B874" s="220"/>
      <c r="C874" s="223"/>
      <c r="D874" s="220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</row>
    <row r="875" spans="1:25" ht="21" customHeight="1">
      <c r="A875" s="215"/>
      <c r="B875" s="220"/>
      <c r="C875" s="223"/>
      <c r="D875" s="220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</row>
    <row r="876" spans="1:25" ht="21" customHeight="1">
      <c r="A876" s="215"/>
      <c r="B876" s="220"/>
      <c r="C876" s="223"/>
      <c r="D876" s="220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</row>
    <row r="877" spans="1:25" ht="21" customHeight="1">
      <c r="A877" s="215"/>
      <c r="B877" s="220"/>
      <c r="C877" s="223"/>
      <c r="D877" s="220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</row>
    <row r="878" spans="1:25" ht="21" customHeight="1">
      <c r="A878" s="215"/>
      <c r="B878" s="220"/>
      <c r="C878" s="223"/>
      <c r="D878" s="220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</row>
    <row r="879" spans="1:25" ht="21" customHeight="1">
      <c r="A879" s="215"/>
      <c r="B879" s="220"/>
      <c r="C879" s="223"/>
      <c r="D879" s="220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</row>
    <row r="880" spans="1:25" ht="21" customHeight="1">
      <c r="A880" s="215"/>
      <c r="B880" s="220"/>
      <c r="C880" s="223"/>
      <c r="D880" s="220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</row>
    <row r="881" spans="1:25" ht="21" customHeight="1">
      <c r="A881" s="215"/>
      <c r="B881" s="220"/>
      <c r="C881" s="223"/>
      <c r="D881" s="220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</row>
    <row r="882" spans="1:25" ht="21" customHeight="1">
      <c r="A882" s="215"/>
      <c r="B882" s="220"/>
      <c r="C882" s="223"/>
      <c r="D882" s="220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</row>
    <row r="883" spans="1:25" ht="21" customHeight="1">
      <c r="A883" s="215"/>
      <c r="B883" s="220"/>
      <c r="C883" s="223"/>
      <c r="D883" s="220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</row>
    <row r="884" spans="1:25" ht="21" customHeight="1">
      <c r="A884" s="215"/>
      <c r="B884" s="220"/>
      <c r="C884" s="223"/>
      <c r="D884" s="220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</row>
    <row r="885" spans="1:25" ht="21" customHeight="1">
      <c r="A885" s="215"/>
      <c r="B885" s="220"/>
      <c r="C885" s="223"/>
      <c r="D885" s="220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</row>
    <row r="886" spans="1:25" ht="21" customHeight="1">
      <c r="A886" s="215"/>
      <c r="B886" s="220"/>
      <c r="C886" s="223"/>
      <c r="D886" s="220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</row>
    <row r="887" spans="1:25" ht="21" customHeight="1">
      <c r="A887" s="215"/>
      <c r="B887" s="220"/>
      <c r="C887" s="223"/>
      <c r="D887" s="220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</row>
    <row r="888" spans="1:25" ht="21" customHeight="1">
      <c r="A888" s="215"/>
      <c r="B888" s="220"/>
      <c r="C888" s="223"/>
      <c r="D888" s="220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</row>
    <row r="889" spans="1:25" ht="21" customHeight="1">
      <c r="A889" s="215"/>
      <c r="B889" s="220"/>
      <c r="C889" s="223"/>
      <c r="D889" s="220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</row>
    <row r="890" spans="1:25" ht="21" customHeight="1">
      <c r="A890" s="215"/>
      <c r="B890" s="220"/>
      <c r="C890" s="223"/>
      <c r="D890" s="220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</row>
    <row r="891" spans="1:25" ht="21" customHeight="1">
      <c r="A891" s="215"/>
      <c r="B891" s="220"/>
      <c r="C891" s="223"/>
      <c r="D891" s="220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</row>
    <row r="892" spans="1:25" ht="21" customHeight="1">
      <c r="A892" s="215"/>
      <c r="B892" s="220"/>
      <c r="C892" s="223"/>
      <c r="D892" s="220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</row>
    <row r="893" spans="1:25" ht="21" customHeight="1">
      <c r="A893" s="215"/>
      <c r="B893" s="220"/>
      <c r="C893" s="223"/>
      <c r="D893" s="220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</row>
    <row r="894" spans="1:25" ht="21" customHeight="1">
      <c r="A894" s="215"/>
      <c r="B894" s="220"/>
      <c r="C894" s="223"/>
      <c r="D894" s="220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</row>
    <row r="895" spans="1:25" ht="21" customHeight="1">
      <c r="A895" s="215"/>
      <c r="B895" s="220"/>
      <c r="C895" s="223"/>
      <c r="D895" s="220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</row>
    <row r="896" spans="1:25" ht="21" customHeight="1">
      <c r="A896" s="215"/>
      <c r="B896" s="220"/>
      <c r="C896" s="223"/>
      <c r="D896" s="220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</row>
    <row r="897" spans="1:25" ht="21" customHeight="1">
      <c r="A897" s="215"/>
      <c r="B897" s="220"/>
      <c r="C897" s="223"/>
      <c r="D897" s="220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</row>
    <row r="898" spans="1:25" ht="21" customHeight="1">
      <c r="A898" s="215"/>
      <c r="B898" s="220"/>
      <c r="C898" s="223"/>
      <c r="D898" s="220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</row>
    <row r="899" spans="1:25" ht="21" customHeight="1">
      <c r="A899" s="215"/>
      <c r="B899" s="220"/>
      <c r="C899" s="223"/>
      <c r="D899" s="220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</row>
    <row r="900" spans="1:25" ht="21" customHeight="1">
      <c r="A900" s="215"/>
      <c r="B900" s="220"/>
      <c r="C900" s="223"/>
      <c r="D900" s="220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</row>
    <row r="901" spans="1:25" ht="21" customHeight="1">
      <c r="A901" s="215"/>
      <c r="B901" s="220"/>
      <c r="C901" s="223"/>
      <c r="D901" s="220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</row>
    <row r="902" spans="1:25" ht="21" customHeight="1">
      <c r="A902" s="215"/>
      <c r="B902" s="220"/>
      <c r="C902" s="223"/>
      <c r="D902" s="220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</row>
    <row r="903" spans="1:25" ht="21" customHeight="1">
      <c r="A903" s="215"/>
      <c r="B903" s="220"/>
      <c r="C903" s="223"/>
      <c r="D903" s="220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</row>
    <row r="904" spans="1:25" ht="21" customHeight="1">
      <c r="A904" s="215"/>
      <c r="B904" s="220"/>
      <c r="C904" s="223"/>
      <c r="D904" s="220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</row>
    <row r="905" spans="1:25" ht="21" customHeight="1">
      <c r="A905" s="215"/>
      <c r="B905" s="220"/>
      <c r="C905" s="223"/>
      <c r="D905" s="220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</row>
    <row r="906" spans="1:25" ht="21" customHeight="1">
      <c r="A906" s="215"/>
      <c r="B906" s="220"/>
      <c r="C906" s="223"/>
      <c r="D906" s="220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</row>
    <row r="907" spans="1:25" ht="21" customHeight="1">
      <c r="A907" s="215"/>
      <c r="B907" s="220"/>
      <c r="C907" s="223"/>
      <c r="D907" s="220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</row>
    <row r="908" spans="1:25" ht="21" customHeight="1">
      <c r="A908" s="215"/>
      <c r="B908" s="220"/>
      <c r="C908" s="223"/>
      <c r="D908" s="220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</row>
    <row r="909" spans="1:25" ht="21" customHeight="1">
      <c r="A909" s="215"/>
      <c r="B909" s="220"/>
      <c r="C909" s="223"/>
      <c r="D909" s="220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</row>
    <row r="910" spans="1:25" ht="21" customHeight="1">
      <c r="A910" s="215"/>
      <c r="B910" s="220"/>
      <c r="C910" s="223"/>
      <c r="D910" s="220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</row>
    <row r="911" spans="1:25" ht="21" customHeight="1">
      <c r="A911" s="215"/>
      <c r="B911" s="220"/>
      <c r="C911" s="223"/>
      <c r="D911" s="220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</row>
    <row r="912" spans="1:25" ht="21" customHeight="1">
      <c r="A912" s="215"/>
      <c r="B912" s="220"/>
      <c r="C912" s="223"/>
      <c r="D912" s="220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</row>
    <row r="913" spans="1:25" ht="21" customHeight="1">
      <c r="A913" s="215"/>
      <c r="B913" s="220"/>
      <c r="C913" s="223"/>
      <c r="D913" s="220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</row>
    <row r="914" spans="1:25" ht="21" customHeight="1">
      <c r="A914" s="215"/>
      <c r="B914" s="220"/>
      <c r="C914" s="223"/>
      <c r="D914" s="220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</row>
    <row r="915" spans="1:25" ht="21" customHeight="1">
      <c r="A915" s="215"/>
      <c r="B915" s="220"/>
      <c r="C915" s="223"/>
      <c r="D915" s="220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</row>
    <row r="916" spans="1:25" ht="21" customHeight="1">
      <c r="A916" s="215"/>
      <c r="B916" s="220"/>
      <c r="C916" s="223"/>
      <c r="D916" s="220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</row>
    <row r="917" spans="1:25" ht="21" customHeight="1">
      <c r="A917" s="215"/>
      <c r="B917" s="220"/>
      <c r="C917" s="223"/>
      <c r="D917" s="220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</row>
    <row r="918" spans="1:25" ht="21" customHeight="1">
      <c r="A918" s="215"/>
      <c r="B918" s="220"/>
      <c r="C918" s="223"/>
      <c r="D918" s="220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</row>
    <row r="919" spans="1:25" ht="21" customHeight="1">
      <c r="A919" s="215"/>
      <c r="B919" s="220"/>
      <c r="C919" s="223"/>
      <c r="D919" s="220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</row>
    <row r="920" spans="1:25" ht="21" customHeight="1">
      <c r="A920" s="215"/>
      <c r="B920" s="220"/>
      <c r="C920" s="223"/>
      <c r="D920" s="220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</row>
    <row r="921" spans="1:25" ht="21" customHeight="1">
      <c r="A921" s="215"/>
      <c r="B921" s="220"/>
      <c r="C921" s="223"/>
      <c r="D921" s="220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</row>
    <row r="922" spans="1:25" ht="21" customHeight="1">
      <c r="A922" s="215"/>
      <c r="B922" s="220"/>
      <c r="C922" s="223"/>
      <c r="D922" s="220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</row>
    <row r="923" spans="1:25" ht="21" customHeight="1">
      <c r="A923" s="215"/>
      <c r="B923" s="220"/>
      <c r="C923" s="223"/>
      <c r="D923" s="220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</row>
    <row r="924" spans="1:25" ht="21" customHeight="1">
      <c r="A924" s="215"/>
      <c r="B924" s="220"/>
      <c r="C924" s="223"/>
      <c r="D924" s="220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</row>
    <row r="925" spans="1:25" ht="21" customHeight="1">
      <c r="A925" s="215"/>
      <c r="B925" s="220"/>
      <c r="C925" s="223"/>
      <c r="D925" s="220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</row>
    <row r="926" spans="1:25" ht="21" customHeight="1">
      <c r="A926" s="215"/>
      <c r="B926" s="220"/>
      <c r="C926" s="223"/>
      <c r="D926" s="220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</row>
    <row r="927" spans="1:25" ht="21" customHeight="1">
      <c r="A927" s="215"/>
      <c r="B927" s="220"/>
      <c r="C927" s="223"/>
      <c r="D927" s="220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</row>
    <row r="928" spans="1:25" ht="21" customHeight="1">
      <c r="A928" s="215"/>
      <c r="B928" s="220"/>
      <c r="C928" s="223"/>
      <c r="D928" s="220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</row>
    <row r="929" spans="1:25" ht="21" customHeight="1">
      <c r="A929" s="215"/>
      <c r="B929" s="220"/>
      <c r="C929" s="223"/>
      <c r="D929" s="220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</row>
    <row r="930" spans="1:25" ht="21" customHeight="1">
      <c r="A930" s="215"/>
      <c r="B930" s="220"/>
      <c r="C930" s="223"/>
      <c r="D930" s="220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</row>
    <row r="931" spans="1:25" ht="21" customHeight="1">
      <c r="A931" s="215"/>
      <c r="B931" s="220"/>
      <c r="C931" s="223"/>
      <c r="D931" s="220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</row>
    <row r="932" spans="1:25" ht="21" customHeight="1">
      <c r="A932" s="215"/>
      <c r="B932" s="220"/>
      <c r="C932" s="223"/>
      <c r="D932" s="220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</row>
    <row r="933" spans="1:25" ht="21" customHeight="1">
      <c r="A933" s="215"/>
      <c r="B933" s="220"/>
      <c r="C933" s="223"/>
      <c r="D933" s="220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</row>
    <row r="934" spans="1:25" ht="21" customHeight="1">
      <c r="A934" s="215"/>
      <c r="B934" s="220"/>
      <c r="C934" s="223"/>
      <c r="D934" s="220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</row>
    <row r="935" spans="1:25" ht="21" customHeight="1">
      <c r="A935" s="215"/>
      <c r="B935" s="220"/>
      <c r="C935" s="223"/>
      <c r="D935" s="220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</row>
    <row r="936" spans="1:25" ht="21" customHeight="1">
      <c r="A936" s="215"/>
      <c r="B936" s="220"/>
      <c r="C936" s="223"/>
      <c r="D936" s="220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</row>
    <row r="937" spans="1:25" ht="21" customHeight="1">
      <c r="A937" s="215"/>
      <c r="B937" s="220"/>
      <c r="C937" s="223"/>
      <c r="D937" s="220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</row>
    <row r="938" spans="1:25" ht="21" customHeight="1">
      <c r="A938" s="215"/>
      <c r="B938" s="220"/>
      <c r="C938" s="223"/>
      <c r="D938" s="220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</row>
    <row r="939" spans="1:25" ht="21" customHeight="1">
      <c r="A939" s="215"/>
      <c r="B939" s="220"/>
      <c r="C939" s="223"/>
      <c r="D939" s="220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</row>
    <row r="940" spans="1:25" ht="21" customHeight="1">
      <c r="A940" s="215"/>
      <c r="B940" s="220"/>
      <c r="C940" s="223"/>
      <c r="D940" s="220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</row>
    <row r="941" spans="1:25" ht="21" customHeight="1">
      <c r="A941" s="215"/>
      <c r="B941" s="220"/>
      <c r="C941" s="223"/>
      <c r="D941" s="220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</row>
    <row r="942" spans="1:25" ht="21" customHeight="1">
      <c r="A942" s="215"/>
      <c r="B942" s="220"/>
      <c r="C942" s="223"/>
      <c r="D942" s="220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</row>
    <row r="943" spans="1:25" ht="21" customHeight="1">
      <c r="A943" s="215"/>
      <c r="B943" s="220"/>
      <c r="C943" s="223"/>
      <c r="D943" s="220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</row>
    <row r="944" spans="1:25" ht="21" customHeight="1">
      <c r="A944" s="215"/>
      <c r="B944" s="220"/>
      <c r="C944" s="223"/>
      <c r="D944" s="220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</row>
    <row r="945" spans="1:25" ht="21" customHeight="1">
      <c r="A945" s="215"/>
      <c r="B945" s="220"/>
      <c r="C945" s="223"/>
      <c r="D945" s="220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</row>
    <row r="946" spans="1:25" ht="21" customHeight="1">
      <c r="A946" s="215"/>
      <c r="B946" s="220"/>
      <c r="C946" s="223"/>
      <c r="D946" s="220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</row>
    <row r="947" spans="1:25" ht="21" customHeight="1">
      <c r="A947" s="215"/>
      <c r="B947" s="220"/>
      <c r="C947" s="223"/>
      <c r="D947" s="220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</row>
    <row r="948" spans="1:25" ht="21" customHeight="1">
      <c r="A948" s="215"/>
      <c r="B948" s="220"/>
      <c r="C948" s="223"/>
      <c r="D948" s="220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</row>
    <row r="949" spans="1:25" ht="21" customHeight="1">
      <c r="A949" s="215"/>
      <c r="B949" s="220"/>
      <c r="C949" s="223"/>
      <c r="D949" s="220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</row>
    <row r="950" spans="1:25" ht="21" customHeight="1">
      <c r="A950" s="215"/>
      <c r="B950" s="220"/>
      <c r="C950" s="223"/>
      <c r="D950" s="220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</row>
    <row r="951" spans="1:25" ht="21" customHeight="1">
      <c r="A951" s="215"/>
      <c r="B951" s="220"/>
      <c r="C951" s="223"/>
      <c r="D951" s="220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</row>
    <row r="952" spans="1:25" ht="21" customHeight="1">
      <c r="A952" s="215"/>
      <c r="B952" s="220"/>
      <c r="C952" s="223"/>
      <c r="D952" s="220"/>
      <c r="E952" s="21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</row>
    <row r="953" spans="1:25" ht="21" customHeight="1">
      <c r="A953" s="215"/>
      <c r="B953" s="220"/>
      <c r="C953" s="223"/>
      <c r="D953" s="220"/>
      <c r="E953" s="21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</row>
    <row r="954" spans="1:25" ht="21" customHeight="1">
      <c r="A954" s="215"/>
      <c r="B954" s="220"/>
      <c r="C954" s="223"/>
      <c r="D954" s="220"/>
      <c r="E954" s="21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</row>
    <row r="955" spans="1:25" ht="21" customHeight="1">
      <c r="A955" s="215"/>
      <c r="B955" s="220"/>
      <c r="C955" s="223"/>
      <c r="D955" s="220"/>
      <c r="E955" s="21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</row>
    <row r="956" spans="1:25" ht="21" customHeight="1">
      <c r="A956" s="215"/>
      <c r="B956" s="220"/>
      <c r="C956" s="223"/>
      <c r="D956" s="220"/>
      <c r="E956" s="21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</row>
    <row r="957" spans="1:25" ht="21" customHeight="1">
      <c r="A957" s="215"/>
      <c r="B957" s="220"/>
      <c r="C957" s="223"/>
      <c r="D957" s="220"/>
      <c r="E957" s="21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</row>
    <row r="958" spans="1:25" ht="21" customHeight="1">
      <c r="A958" s="215"/>
      <c r="B958" s="220"/>
      <c r="C958" s="223"/>
      <c r="D958" s="220"/>
      <c r="E958" s="21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</row>
    <row r="959" spans="1:25" ht="21" customHeight="1">
      <c r="A959" s="215"/>
      <c r="B959" s="220"/>
      <c r="C959" s="223"/>
      <c r="D959" s="220"/>
      <c r="E959" s="21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</row>
    <row r="960" spans="1:25" ht="21" customHeight="1">
      <c r="A960" s="215"/>
      <c r="B960" s="220"/>
      <c r="C960" s="223"/>
      <c r="D960" s="220"/>
      <c r="E960" s="21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</row>
    <row r="961" spans="1:25" ht="21" customHeight="1">
      <c r="A961" s="215"/>
      <c r="B961" s="220"/>
      <c r="C961" s="223"/>
      <c r="D961" s="220"/>
      <c r="E961" s="21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</row>
    <row r="962" spans="1:25" ht="21" customHeight="1">
      <c r="A962" s="215"/>
      <c r="B962" s="220"/>
      <c r="C962" s="223"/>
      <c r="D962" s="220"/>
      <c r="E962" s="21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</row>
    <row r="963" spans="1:25" ht="21" customHeight="1">
      <c r="A963" s="215"/>
      <c r="B963" s="220"/>
      <c r="C963" s="223"/>
      <c r="D963" s="220"/>
      <c r="E963" s="21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</row>
    <row r="964" spans="1:25" ht="21" customHeight="1">
      <c r="A964" s="215"/>
      <c r="B964" s="220"/>
      <c r="C964" s="223"/>
      <c r="D964" s="220"/>
      <c r="E964" s="21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</row>
    <row r="965" spans="1:25" ht="21" customHeight="1">
      <c r="A965" s="215"/>
      <c r="B965" s="220"/>
      <c r="C965" s="223"/>
      <c r="D965" s="220"/>
      <c r="E965" s="21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</row>
    <row r="966" spans="1:25" ht="21" customHeight="1">
      <c r="A966" s="215"/>
      <c r="B966" s="220"/>
      <c r="C966" s="223"/>
      <c r="D966" s="220"/>
      <c r="E966" s="21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</row>
    <row r="967" spans="1:25" ht="21" customHeight="1">
      <c r="A967" s="215"/>
      <c r="B967" s="220"/>
      <c r="C967" s="223"/>
      <c r="D967" s="220"/>
      <c r="E967" s="21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</row>
    <row r="968" spans="1:25" ht="21" customHeight="1">
      <c r="A968" s="215"/>
      <c r="B968" s="220"/>
      <c r="C968" s="223"/>
      <c r="D968" s="220"/>
      <c r="E968" s="21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</row>
    <row r="969" spans="1:25" ht="21" customHeight="1">
      <c r="A969" s="215"/>
      <c r="B969" s="220"/>
      <c r="C969" s="223"/>
      <c r="D969" s="220"/>
      <c r="E969" s="21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</row>
    <row r="970" spans="1:25" ht="21" customHeight="1">
      <c r="A970" s="215"/>
      <c r="B970" s="220"/>
      <c r="C970" s="223"/>
      <c r="D970" s="220"/>
      <c r="E970" s="21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</row>
    <row r="971" spans="1:25" ht="21" customHeight="1">
      <c r="A971" s="215"/>
      <c r="B971" s="220"/>
      <c r="C971" s="223"/>
      <c r="D971" s="220"/>
      <c r="E971" s="21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</row>
    <row r="972" spans="1:25" ht="21" customHeight="1">
      <c r="A972" s="215"/>
      <c r="B972" s="220"/>
      <c r="C972" s="223"/>
      <c r="D972" s="220"/>
      <c r="E972" s="21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</row>
    <row r="973" spans="1:25" ht="21" customHeight="1">
      <c r="A973" s="215"/>
      <c r="B973" s="220"/>
      <c r="C973" s="223"/>
      <c r="D973" s="220"/>
      <c r="E973" s="21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</row>
    <row r="974" spans="1:25" ht="21" customHeight="1">
      <c r="A974" s="215"/>
      <c r="B974" s="220"/>
      <c r="C974" s="223"/>
      <c r="D974" s="220"/>
      <c r="E974" s="21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</row>
    <row r="975" spans="1:25" ht="21" customHeight="1">
      <c r="A975" s="215"/>
      <c r="B975" s="220"/>
      <c r="C975" s="223"/>
      <c r="D975" s="220"/>
      <c r="E975" s="21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</row>
    <row r="976" spans="1:25" ht="21" customHeight="1">
      <c r="A976" s="215"/>
      <c r="B976" s="220"/>
      <c r="C976" s="223"/>
      <c r="D976" s="220"/>
      <c r="E976" s="21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</row>
    <row r="977" spans="1:25" ht="21" customHeight="1">
      <c r="A977" s="215"/>
      <c r="B977" s="220"/>
      <c r="C977" s="223"/>
      <c r="D977" s="220"/>
      <c r="E977" s="21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</row>
    <row r="978" spans="1:25" ht="21" customHeight="1">
      <c r="A978" s="215"/>
      <c r="B978" s="220"/>
      <c r="C978" s="223"/>
      <c r="D978" s="220"/>
      <c r="E978" s="21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</row>
    <row r="979" spans="1:25" ht="21" customHeight="1">
      <c r="A979" s="215"/>
      <c r="B979" s="220"/>
      <c r="C979" s="223"/>
      <c r="D979" s="220"/>
      <c r="E979" s="21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</row>
    <row r="980" spans="1:25" ht="21" customHeight="1">
      <c r="A980" s="215"/>
      <c r="B980" s="220"/>
      <c r="C980" s="223"/>
      <c r="D980" s="220"/>
      <c r="E980" s="21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</row>
    <row r="981" spans="1:25" ht="21" customHeight="1">
      <c r="A981" s="215"/>
      <c r="B981" s="220"/>
      <c r="C981" s="223"/>
      <c r="D981" s="220"/>
      <c r="E981" s="21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Z1012"/>
  <sheetViews>
    <sheetView zoomScale="61" workbookViewId="0">
      <pane ySplit="1" topLeftCell="A47" activePane="bottomLeft" state="frozen"/>
      <selection pane="bottomLeft" activeCell="D16" sqref="D16"/>
    </sheetView>
  </sheetViews>
  <sheetFormatPr defaultColWidth="14.44140625" defaultRowHeight="15" customHeight="1"/>
  <cols>
    <col min="1" max="1" width="9.6640625" style="42" customWidth="1"/>
    <col min="2" max="2" width="46.5546875" style="42" customWidth="1"/>
    <col min="3" max="3" width="56.5546875" style="42" customWidth="1"/>
    <col min="4" max="4" width="111.44140625" style="42" customWidth="1"/>
    <col min="5" max="6" width="14.44140625" style="42"/>
    <col min="7" max="26" width="8.77734375" style="42" customWidth="1"/>
    <col min="27" max="16384" width="14.44140625" style="42"/>
  </cols>
  <sheetData>
    <row r="1" spans="1:26" s="243" customFormat="1" ht="50.1" customHeight="1">
      <c r="A1" s="238" t="s">
        <v>288</v>
      </c>
      <c r="B1" s="240" t="s">
        <v>265</v>
      </c>
      <c r="C1" s="241" t="s">
        <v>289</v>
      </c>
      <c r="D1" s="244" t="s">
        <v>267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</row>
    <row r="2" spans="1:26" ht="34.049999999999997" customHeight="1">
      <c r="A2" s="457">
        <v>1</v>
      </c>
      <c r="B2" s="457" t="s">
        <v>90</v>
      </c>
      <c r="C2" s="457" t="s">
        <v>90</v>
      </c>
      <c r="D2" s="227" t="s">
        <v>501</v>
      </c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spans="1:26" ht="34.049999999999997" customHeight="1">
      <c r="A3" s="458"/>
      <c r="B3" s="458"/>
      <c r="C3" s="458"/>
      <c r="D3" s="227" t="s">
        <v>290</v>
      </c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spans="1:26" ht="34.049999999999997" customHeight="1">
      <c r="A4" s="458"/>
      <c r="B4" s="458"/>
      <c r="C4" s="459"/>
      <c r="D4" s="227" t="s">
        <v>291</v>
      </c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spans="1:26" ht="34.049999999999997" customHeight="1">
      <c r="A5" s="458"/>
      <c r="B5" s="458"/>
      <c r="C5" s="457" t="s">
        <v>292</v>
      </c>
      <c r="D5" s="229" t="s">
        <v>293</v>
      </c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spans="1:26" ht="34.049999999999997" customHeight="1">
      <c r="A6" s="458"/>
      <c r="B6" s="458"/>
      <c r="C6" s="458"/>
      <c r="D6" s="229" t="s">
        <v>294</v>
      </c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spans="1:26" ht="34.049999999999997" customHeight="1">
      <c r="A7" s="458"/>
      <c r="B7" s="458"/>
      <c r="C7" s="458"/>
      <c r="D7" s="229" t="s">
        <v>295</v>
      </c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spans="1:26" ht="34.049999999999997" customHeight="1">
      <c r="A8" s="459"/>
      <c r="B8" s="459"/>
      <c r="C8" s="459"/>
      <c r="D8" s="229" t="s">
        <v>296</v>
      </c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spans="1:26" ht="34.049999999999997" customHeight="1">
      <c r="A9" s="457">
        <v>2</v>
      </c>
      <c r="B9" s="457" t="s">
        <v>125</v>
      </c>
      <c r="C9" s="457" t="s">
        <v>297</v>
      </c>
      <c r="D9" s="229" t="s">
        <v>298</v>
      </c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spans="1:26" ht="34.049999999999997" customHeight="1">
      <c r="A10" s="458"/>
      <c r="B10" s="458"/>
      <c r="C10" s="459"/>
      <c r="D10" s="229" t="s">
        <v>299</v>
      </c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spans="1:26" ht="34.049999999999997" customHeight="1">
      <c r="A11" s="458"/>
      <c r="B11" s="458"/>
      <c r="C11" s="457" t="s">
        <v>300</v>
      </c>
      <c r="D11" s="230" t="s">
        <v>302</v>
      </c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spans="1:26" ht="34.049999999999997" customHeight="1">
      <c r="A12" s="458"/>
      <c r="B12" s="458"/>
      <c r="C12" s="458"/>
      <c r="D12" s="230" t="s">
        <v>301</v>
      </c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spans="1:26" ht="34.049999999999997" customHeight="1">
      <c r="A13" s="458"/>
      <c r="B13" s="458"/>
      <c r="C13" s="458"/>
      <c r="D13" s="230" t="s">
        <v>517</v>
      </c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spans="1:26" ht="34.049999999999997" customHeight="1">
      <c r="A14" s="458"/>
      <c r="B14" s="458"/>
      <c r="C14" s="459"/>
      <c r="D14" s="230" t="s">
        <v>518</v>
      </c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spans="1:26" ht="34.049999999999997" customHeight="1">
      <c r="A15" s="458"/>
      <c r="B15" s="458"/>
      <c r="C15" s="457" t="s">
        <v>126</v>
      </c>
      <c r="D15" s="229" t="s">
        <v>303</v>
      </c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spans="1:26" ht="34.049999999999997" customHeight="1">
      <c r="A16" s="458"/>
      <c r="B16" s="458"/>
      <c r="C16" s="458"/>
      <c r="D16" s="229" t="s">
        <v>502</v>
      </c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spans="1:26" ht="34.049999999999997" customHeight="1">
      <c r="A17" s="458"/>
      <c r="B17" s="458"/>
      <c r="C17" s="458"/>
      <c r="D17" s="229" t="s">
        <v>504</v>
      </c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spans="1:26" ht="34.049999999999997" customHeight="1">
      <c r="A18" s="458"/>
      <c r="B18" s="458"/>
      <c r="C18" s="459"/>
      <c r="D18" s="229" t="s">
        <v>503</v>
      </c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spans="1:26" ht="34.049999999999997" customHeight="1">
      <c r="A19" s="458"/>
      <c r="B19" s="458"/>
      <c r="C19" s="239" t="s">
        <v>304</v>
      </c>
      <c r="D19" s="230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spans="1:26" ht="34.049999999999997" customHeight="1">
      <c r="A20" s="458"/>
      <c r="B20" s="458"/>
      <c r="C20" s="460" t="s">
        <v>166</v>
      </c>
      <c r="D20" s="230" t="s">
        <v>505</v>
      </c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1:26" ht="34.049999999999997" customHeight="1">
      <c r="A21" s="458"/>
      <c r="B21" s="458"/>
      <c r="C21" s="461"/>
      <c r="D21" s="230" t="s">
        <v>506</v>
      </c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spans="1:26" ht="34.049999999999997" customHeight="1">
      <c r="A22" s="458"/>
      <c r="B22" s="458"/>
      <c r="C22" s="461"/>
      <c r="D22" s="230" t="s">
        <v>507</v>
      </c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pans="1:26" ht="34.049999999999997" customHeight="1">
      <c r="A23" s="458"/>
      <c r="B23" s="458"/>
      <c r="C23" s="461"/>
      <c r="D23" s="230" t="s">
        <v>305</v>
      </c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pans="1:26" ht="34.049999999999997" customHeight="1">
      <c r="A24" s="458"/>
      <c r="B24" s="458"/>
      <c r="C24" s="461"/>
      <c r="D24" s="231" t="s">
        <v>306</v>
      </c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pans="1:26" ht="34.049999999999997" customHeight="1">
      <c r="A25" s="459"/>
      <c r="B25" s="459"/>
      <c r="C25" s="462"/>
      <c r="D25" s="231" t="s">
        <v>307</v>
      </c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pans="1:26" ht="34.049999999999997" customHeight="1">
      <c r="A26" s="457">
        <v>3</v>
      </c>
      <c r="B26" s="463" t="s">
        <v>128</v>
      </c>
      <c r="C26" s="457" t="s">
        <v>308</v>
      </c>
      <c r="D26" s="232" t="s">
        <v>309</v>
      </c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pans="1:26" ht="34.049999999999997" customHeight="1">
      <c r="A27" s="458"/>
      <c r="B27" s="464"/>
      <c r="C27" s="458"/>
      <c r="D27" s="232" t="s">
        <v>310</v>
      </c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pans="1:26" ht="34.049999999999997" customHeight="1">
      <c r="A28" s="458"/>
      <c r="B28" s="464"/>
      <c r="C28" s="458"/>
      <c r="D28" s="232" t="s">
        <v>311</v>
      </c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pans="1:26" ht="34.049999999999997" customHeight="1">
      <c r="A29" s="458"/>
      <c r="B29" s="464"/>
      <c r="C29" s="458"/>
      <c r="D29" s="232" t="s">
        <v>312</v>
      </c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spans="1:26" ht="34.049999999999997" customHeight="1">
      <c r="A30" s="458"/>
      <c r="B30" s="464"/>
      <c r="C30" s="458"/>
      <c r="D30" s="232" t="s">
        <v>313</v>
      </c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spans="1:26" ht="34.049999999999997" customHeight="1">
      <c r="A31" s="458"/>
      <c r="B31" s="464"/>
      <c r="C31" s="459"/>
      <c r="D31" s="230" t="s">
        <v>314</v>
      </c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pans="1:26" ht="34.049999999999997" customHeight="1">
      <c r="A32" s="458"/>
      <c r="B32" s="464"/>
      <c r="C32" s="457" t="s">
        <v>127</v>
      </c>
      <c r="D32" s="230" t="s">
        <v>315</v>
      </c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pans="1:26" ht="34.049999999999997" customHeight="1">
      <c r="A33" s="458"/>
      <c r="B33" s="464"/>
      <c r="C33" s="458"/>
      <c r="D33" s="230" t="s">
        <v>316</v>
      </c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pans="1:26" ht="34.049999999999997" customHeight="1">
      <c r="A34" s="458"/>
      <c r="B34" s="464"/>
      <c r="C34" s="458"/>
      <c r="D34" s="230" t="s">
        <v>317</v>
      </c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spans="1:26" ht="34.049999999999997" customHeight="1">
      <c r="A35" s="458"/>
      <c r="B35" s="464"/>
      <c r="C35" s="458"/>
      <c r="D35" s="230" t="s">
        <v>318</v>
      </c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spans="1:26" ht="34.049999999999997" customHeight="1">
      <c r="A36" s="458"/>
      <c r="B36" s="464"/>
      <c r="C36" s="458"/>
      <c r="D36" s="230" t="s">
        <v>319</v>
      </c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spans="1:26" ht="34.049999999999997" customHeight="1">
      <c r="A37" s="459"/>
      <c r="B37" s="465"/>
      <c r="C37" s="459"/>
      <c r="D37" s="230" t="s">
        <v>320</v>
      </c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spans="1:26" ht="34.049999999999997" customHeight="1">
      <c r="A38" s="457">
        <v>4</v>
      </c>
      <c r="B38" s="457" t="s">
        <v>102</v>
      </c>
      <c r="C38" s="457" t="s">
        <v>321</v>
      </c>
      <c r="D38" s="229" t="s">
        <v>508</v>
      </c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spans="1:26" ht="34.049999999999997" customHeight="1">
      <c r="A39" s="458"/>
      <c r="B39" s="458"/>
      <c r="C39" s="458"/>
      <c r="D39" s="229" t="s">
        <v>509</v>
      </c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spans="1:26" ht="34.049999999999997" customHeight="1">
      <c r="A40" s="458"/>
      <c r="B40" s="458"/>
      <c r="C40" s="458"/>
      <c r="D40" s="229" t="s">
        <v>510</v>
      </c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spans="1:26" ht="34.049999999999997" customHeight="1">
      <c r="A41" s="459"/>
      <c r="B41" s="459"/>
      <c r="C41" s="459"/>
      <c r="D41" s="229" t="s">
        <v>511</v>
      </c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spans="1:26" ht="34.049999999999997" customHeight="1">
      <c r="A42" s="457">
        <v>5</v>
      </c>
      <c r="B42" s="457" t="s">
        <v>131</v>
      </c>
      <c r="C42" s="457" t="s">
        <v>130</v>
      </c>
      <c r="D42" s="229" t="s">
        <v>322</v>
      </c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spans="1:26" ht="34.049999999999997" customHeight="1">
      <c r="A43" s="458"/>
      <c r="B43" s="458"/>
      <c r="C43" s="459"/>
      <c r="D43" s="229" t="s">
        <v>323</v>
      </c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spans="1:26" ht="34.049999999999997" customHeight="1">
      <c r="A44" s="459"/>
      <c r="B44" s="459"/>
      <c r="C44" s="239" t="s">
        <v>138</v>
      </c>
      <c r="D44" s="229" t="s">
        <v>324</v>
      </c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spans="1:26" ht="34.049999999999997" customHeight="1">
      <c r="A45" s="457">
        <v>6</v>
      </c>
      <c r="B45" s="457" t="s">
        <v>142</v>
      </c>
      <c r="C45" s="457" t="s">
        <v>325</v>
      </c>
      <c r="D45" s="229" t="s">
        <v>326</v>
      </c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spans="1:26" ht="34.049999999999997" customHeight="1">
      <c r="A46" s="458"/>
      <c r="B46" s="458"/>
      <c r="C46" s="458"/>
      <c r="D46" s="229" t="s">
        <v>327</v>
      </c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spans="1:26" ht="34.049999999999997" customHeight="1">
      <c r="A47" s="459"/>
      <c r="B47" s="459"/>
      <c r="C47" s="459"/>
      <c r="D47" s="229" t="s">
        <v>328</v>
      </c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spans="1:26" ht="34.049999999999997" customHeight="1">
      <c r="A48" s="457">
        <v>7</v>
      </c>
      <c r="B48" s="457" t="s">
        <v>151</v>
      </c>
      <c r="C48" s="457" t="s">
        <v>329</v>
      </c>
      <c r="D48" s="230" t="s">
        <v>330</v>
      </c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spans="1:26" ht="34.049999999999997" customHeight="1">
      <c r="A49" s="458"/>
      <c r="B49" s="458"/>
      <c r="C49" s="458"/>
      <c r="D49" s="233" t="s">
        <v>438</v>
      </c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spans="1:26" ht="34.049999999999997" customHeight="1">
      <c r="A50" s="458"/>
      <c r="B50" s="458"/>
      <c r="C50" s="458"/>
      <c r="D50" s="233" t="s">
        <v>439</v>
      </c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spans="1:26" ht="34.049999999999997" customHeight="1">
      <c r="A51" s="458"/>
      <c r="B51" s="458"/>
      <c r="C51" s="458"/>
      <c r="D51" s="234" t="s">
        <v>440</v>
      </c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spans="1:26" ht="34.049999999999997" customHeight="1">
      <c r="A52" s="458"/>
      <c r="B52" s="458"/>
      <c r="C52" s="458"/>
      <c r="D52" s="233" t="s">
        <v>441</v>
      </c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spans="1:26" ht="34.049999999999997" customHeight="1">
      <c r="A53" s="458"/>
      <c r="B53" s="458"/>
      <c r="C53" s="458"/>
      <c r="D53" s="233" t="s">
        <v>442</v>
      </c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spans="1:26" ht="34.049999999999997" customHeight="1">
      <c r="A54" s="458"/>
      <c r="B54" s="458"/>
      <c r="C54" s="459"/>
      <c r="D54" s="230" t="s">
        <v>331</v>
      </c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spans="1:26" ht="34.049999999999997" customHeight="1">
      <c r="A55" s="458"/>
      <c r="B55" s="458"/>
      <c r="C55" s="457" t="s">
        <v>175</v>
      </c>
      <c r="D55" s="229" t="s">
        <v>513</v>
      </c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spans="1:26" ht="34.049999999999997" customHeight="1">
      <c r="A56" s="458"/>
      <c r="B56" s="458"/>
      <c r="C56" s="458"/>
      <c r="D56" s="229" t="s">
        <v>512</v>
      </c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spans="1:26" ht="34.049999999999997" customHeight="1">
      <c r="A57" s="458"/>
      <c r="B57" s="458"/>
      <c r="C57" s="458"/>
      <c r="D57" s="230" t="s">
        <v>514</v>
      </c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spans="1:26" ht="34.049999999999997" customHeight="1">
      <c r="A58" s="458"/>
      <c r="B58" s="458"/>
      <c r="C58" s="458"/>
      <c r="D58" s="230" t="s">
        <v>515</v>
      </c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spans="1:26" ht="34.049999999999997" customHeight="1">
      <c r="A59" s="458"/>
      <c r="B59" s="458"/>
      <c r="C59" s="458"/>
      <c r="D59" s="230" t="s">
        <v>516</v>
      </c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spans="1:26" ht="34.049999999999997" customHeight="1">
      <c r="A60" s="458"/>
      <c r="B60" s="458"/>
      <c r="C60" s="458"/>
      <c r="D60" s="230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spans="1:26" ht="34.049999999999997" customHeight="1">
      <c r="A61" s="459"/>
      <c r="B61" s="459"/>
      <c r="C61" s="459"/>
      <c r="D61" s="230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spans="1:26" ht="16.5" customHeight="1">
      <c r="A62" s="235"/>
      <c r="B62" s="235"/>
      <c r="C62" s="235"/>
      <c r="D62" s="236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spans="1:26" ht="16.5" customHeight="1">
      <c r="A63" s="235"/>
      <c r="B63" s="235"/>
      <c r="C63" s="235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spans="1:26" ht="16.5" customHeight="1">
      <c r="A64" s="235"/>
      <c r="B64" s="235"/>
      <c r="C64" s="235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spans="1:26" ht="16.5" customHeight="1">
      <c r="A65" s="235"/>
      <c r="B65" s="235"/>
      <c r="C65" s="235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spans="1:26" ht="16.5" customHeight="1">
      <c r="A66" s="235"/>
      <c r="B66" s="235"/>
      <c r="C66" s="235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pans="1:26" ht="16.5" customHeight="1">
      <c r="A67" s="235"/>
      <c r="B67" s="235"/>
      <c r="C67" s="235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spans="1:26" ht="16.5" customHeight="1">
      <c r="A68" s="237"/>
      <c r="B68" s="237"/>
      <c r="C68" s="237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 spans="1:26" ht="16.5" customHeight="1">
      <c r="A69" s="237"/>
      <c r="B69" s="237"/>
      <c r="C69" s="237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 spans="1:26" ht="16.5" customHeight="1">
      <c r="A70" s="237"/>
      <c r="B70" s="237"/>
      <c r="C70" s="237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 spans="1:26" ht="16.5" customHeight="1">
      <c r="A71" s="237"/>
      <c r="B71" s="237"/>
      <c r="C71" s="237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 spans="1:26" ht="16.5" customHeight="1">
      <c r="A72" s="237"/>
      <c r="B72" s="237"/>
      <c r="C72" s="237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 spans="1:26" ht="16.5" customHeight="1">
      <c r="A73" s="237"/>
      <c r="B73" s="237"/>
      <c r="C73" s="237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 spans="1:26" ht="16.5" customHeight="1">
      <c r="A74" s="237"/>
      <c r="B74" s="237"/>
      <c r="C74" s="237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 spans="1:26" ht="16.5" customHeight="1">
      <c r="A75" s="237"/>
      <c r="B75" s="237"/>
      <c r="C75" s="237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 spans="1:26" ht="16.5" customHeight="1">
      <c r="A76" s="237"/>
      <c r="B76" s="237"/>
      <c r="C76" s="237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 spans="1:26" ht="16.5" customHeight="1">
      <c r="A77" s="237"/>
      <c r="B77" s="237"/>
      <c r="C77" s="237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 spans="1:26" ht="16.5" customHeight="1">
      <c r="A78" s="237"/>
      <c r="B78" s="237"/>
      <c r="C78" s="237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 spans="1:26" ht="16.5" customHeight="1">
      <c r="A79" s="237"/>
      <c r="B79" s="237"/>
      <c r="C79" s="237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 spans="1:26" ht="16.5" customHeight="1">
      <c r="A80" s="237"/>
      <c r="B80" s="237"/>
      <c r="C80" s="237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 spans="1:26" ht="16.5" customHeight="1">
      <c r="A81" s="237"/>
      <c r="B81" s="237"/>
      <c r="C81" s="237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 spans="1:26" ht="16.5" customHeight="1">
      <c r="A82" s="237"/>
      <c r="B82" s="237"/>
      <c r="C82" s="237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 spans="1:26" ht="16.5" customHeight="1">
      <c r="A83" s="237"/>
      <c r="B83" s="237"/>
      <c r="C83" s="237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 spans="1:26" ht="16.5" customHeight="1">
      <c r="A84" s="237"/>
      <c r="B84" s="237"/>
      <c r="C84" s="237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 spans="1:26" ht="16.5" customHeight="1">
      <c r="A85" s="237"/>
      <c r="B85" s="237"/>
      <c r="C85" s="237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 spans="1:26" ht="16.5" customHeight="1">
      <c r="A86" s="237"/>
      <c r="B86" s="237"/>
      <c r="C86" s="237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 spans="1:26" ht="16.5" customHeight="1">
      <c r="A87" s="237"/>
      <c r="B87" s="237"/>
      <c r="C87" s="237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 spans="1:26" ht="16.5" customHeight="1">
      <c r="A88" s="237"/>
      <c r="B88" s="237"/>
      <c r="C88" s="237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 spans="1:26" ht="16.5" customHeight="1">
      <c r="A89" s="237"/>
      <c r="B89" s="237"/>
      <c r="C89" s="237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 spans="1:26" ht="16.5" customHeight="1">
      <c r="A90" s="237"/>
      <c r="B90" s="237"/>
      <c r="C90" s="237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 spans="1:26" ht="16.5" customHeight="1">
      <c r="A91" s="237"/>
      <c r="B91" s="237"/>
      <c r="C91" s="237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 spans="1:26" ht="16.5" customHeight="1">
      <c r="A92" s="237"/>
      <c r="B92" s="237"/>
      <c r="C92" s="237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 spans="1:26" ht="16.5" customHeight="1">
      <c r="A93" s="237"/>
      <c r="B93" s="237"/>
      <c r="C93" s="237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 spans="1:26" ht="16.5" customHeight="1">
      <c r="A94" s="237"/>
      <c r="B94" s="237"/>
      <c r="C94" s="237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 spans="1:26" ht="16.5" customHeight="1">
      <c r="A95" s="237"/>
      <c r="B95" s="237"/>
      <c r="C95" s="237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 spans="1:26" ht="16.5" customHeight="1">
      <c r="A96" s="237"/>
      <c r="B96" s="237"/>
      <c r="C96" s="237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 spans="1:26" ht="16.5" customHeight="1">
      <c r="A97" s="237"/>
      <c r="B97" s="237"/>
      <c r="C97" s="237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 spans="1:26" ht="16.5" customHeight="1">
      <c r="A98" s="237"/>
      <c r="B98" s="237"/>
      <c r="C98" s="237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 spans="1:26" ht="16.5" customHeight="1">
      <c r="A99" s="237"/>
      <c r="B99" s="237"/>
      <c r="C99" s="237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 spans="1:26" ht="16.5" customHeight="1">
      <c r="A100" s="237"/>
      <c r="B100" s="237"/>
      <c r="C100" s="237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 spans="1:26" ht="16.5" customHeight="1">
      <c r="A101" s="237"/>
      <c r="B101" s="237"/>
      <c r="C101" s="237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 spans="1:26" ht="16.5" customHeight="1">
      <c r="A102" s="237"/>
      <c r="B102" s="237"/>
      <c r="C102" s="237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 spans="1:26" ht="16.5" customHeight="1">
      <c r="A103" s="237"/>
      <c r="B103" s="237"/>
      <c r="C103" s="237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 spans="1:26" ht="16.5" customHeight="1">
      <c r="A104" s="237"/>
      <c r="B104" s="237"/>
      <c r="C104" s="237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 spans="1:26" ht="16.5" customHeight="1">
      <c r="A105" s="237"/>
      <c r="B105" s="237"/>
      <c r="C105" s="237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 spans="1:26" ht="16.5" customHeight="1">
      <c r="A106" s="237"/>
      <c r="B106" s="237"/>
      <c r="C106" s="237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 spans="1:26" ht="16.5" customHeight="1">
      <c r="A107" s="237"/>
      <c r="B107" s="237"/>
      <c r="C107" s="237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 spans="1:26" ht="16.5" customHeight="1">
      <c r="A108" s="237"/>
      <c r="B108" s="237"/>
      <c r="C108" s="237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 spans="1:26" ht="16.5" customHeight="1">
      <c r="A109" s="237"/>
      <c r="B109" s="237"/>
      <c r="C109" s="237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 spans="1:26" ht="16.5" customHeight="1">
      <c r="A110" s="237"/>
      <c r="B110" s="237"/>
      <c r="C110" s="237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 spans="1:26" ht="16.5" customHeight="1">
      <c r="A111" s="237"/>
      <c r="B111" s="237"/>
      <c r="C111" s="237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 spans="1:26" ht="16.5" customHeight="1">
      <c r="A112" s="237"/>
      <c r="B112" s="237"/>
      <c r="C112" s="237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 spans="1:26" ht="16.5" customHeight="1">
      <c r="A113" s="237"/>
      <c r="B113" s="237"/>
      <c r="C113" s="237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 spans="1:26" ht="16.5" customHeight="1">
      <c r="A114" s="237"/>
      <c r="B114" s="237"/>
      <c r="C114" s="237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 spans="1:26" ht="16.5" customHeight="1">
      <c r="A115" s="237"/>
      <c r="B115" s="237"/>
      <c r="C115" s="237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 spans="1:26" ht="16.5" customHeight="1">
      <c r="A116" s="237"/>
      <c r="B116" s="237"/>
      <c r="C116" s="237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 spans="1:26" ht="16.5" customHeight="1">
      <c r="A117" s="237"/>
      <c r="B117" s="237"/>
      <c r="C117" s="237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 spans="1:26" ht="16.5" customHeight="1">
      <c r="A118" s="237"/>
      <c r="B118" s="237"/>
      <c r="C118" s="237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 spans="1:26" ht="16.5" customHeight="1">
      <c r="A119" s="237"/>
      <c r="B119" s="237"/>
      <c r="C119" s="237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 spans="1:26" ht="16.5" customHeight="1">
      <c r="A120" s="237"/>
      <c r="B120" s="237"/>
      <c r="C120" s="237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 spans="1:26" ht="16.5" customHeight="1">
      <c r="A121" s="237"/>
      <c r="B121" s="237"/>
      <c r="C121" s="237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 spans="1:26" ht="16.5" customHeight="1">
      <c r="A122" s="237"/>
      <c r="B122" s="237"/>
      <c r="C122" s="237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 spans="1:26" ht="16.5" customHeight="1">
      <c r="A123" s="237"/>
      <c r="B123" s="237"/>
      <c r="C123" s="237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 spans="1:26" ht="16.5" customHeight="1">
      <c r="A124" s="237"/>
      <c r="B124" s="237"/>
      <c r="C124" s="237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 spans="1:26" ht="16.5" customHeight="1">
      <c r="A125" s="237"/>
      <c r="B125" s="237"/>
      <c r="C125" s="237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 spans="1:26" ht="16.5" customHeight="1">
      <c r="A126" s="237"/>
      <c r="B126" s="237"/>
      <c r="C126" s="237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 spans="1:26" ht="16.5" customHeight="1">
      <c r="A127" s="237"/>
      <c r="B127" s="237"/>
      <c r="C127" s="237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 spans="1:26" ht="16.5" customHeight="1">
      <c r="A128" s="237"/>
      <c r="B128" s="237"/>
      <c r="C128" s="237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 spans="1:26" ht="16.5" customHeight="1">
      <c r="A129" s="237"/>
      <c r="B129" s="237"/>
      <c r="C129" s="237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 spans="1:26" ht="16.5" customHeight="1">
      <c r="A130" s="237"/>
      <c r="B130" s="237"/>
      <c r="C130" s="237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 spans="1:26" ht="16.5" customHeight="1">
      <c r="A131" s="237"/>
      <c r="B131" s="237"/>
      <c r="C131" s="237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 spans="1:26" ht="16.5" customHeight="1">
      <c r="A132" s="237"/>
      <c r="B132" s="237"/>
      <c r="C132" s="237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 spans="1:26" ht="16.5" customHeight="1">
      <c r="A133" s="237"/>
      <c r="B133" s="237"/>
      <c r="C133" s="237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 spans="1:26" ht="16.5" customHeight="1">
      <c r="A134" s="237"/>
      <c r="B134" s="237"/>
      <c r="C134" s="237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 spans="1:26" ht="16.5" customHeight="1">
      <c r="A135" s="237"/>
      <c r="B135" s="237"/>
      <c r="C135" s="237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 spans="1:26" ht="16.5" customHeight="1">
      <c r="A136" s="237"/>
      <c r="B136" s="237"/>
      <c r="C136" s="237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 spans="1:26" ht="16.5" customHeight="1">
      <c r="A137" s="237"/>
      <c r="B137" s="237"/>
      <c r="C137" s="237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 spans="1:26" ht="16.5" customHeight="1">
      <c r="A138" s="237"/>
      <c r="B138" s="237"/>
      <c r="C138" s="237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 spans="1:26" ht="16.5" customHeight="1">
      <c r="A139" s="237"/>
      <c r="B139" s="237"/>
      <c r="C139" s="237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 spans="1:26" ht="16.5" customHeight="1">
      <c r="A140" s="237"/>
      <c r="B140" s="237"/>
      <c r="C140" s="237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 spans="1:26" ht="16.5" customHeight="1">
      <c r="A141" s="237"/>
      <c r="B141" s="237"/>
      <c r="C141" s="237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 spans="1:26" ht="16.5" customHeight="1">
      <c r="A142" s="237"/>
      <c r="B142" s="237"/>
      <c r="C142" s="237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 spans="1:26" ht="16.5" customHeight="1">
      <c r="A143" s="237"/>
      <c r="B143" s="237"/>
      <c r="C143" s="237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 spans="1:26" ht="16.5" customHeight="1">
      <c r="A144" s="237"/>
      <c r="B144" s="237"/>
      <c r="C144" s="237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 spans="1:26" ht="16.5" customHeight="1">
      <c r="A145" s="237"/>
      <c r="B145" s="237"/>
      <c r="C145" s="237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 spans="1:26" ht="16.5" customHeight="1">
      <c r="A146" s="237"/>
      <c r="B146" s="237"/>
      <c r="C146" s="237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 spans="1:26" ht="16.5" customHeight="1">
      <c r="A147" s="237"/>
      <c r="B147" s="237"/>
      <c r="C147" s="237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 spans="1:26" ht="16.5" customHeight="1">
      <c r="A148" s="237"/>
      <c r="B148" s="237"/>
      <c r="C148" s="237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 spans="1:26" ht="16.5" customHeight="1">
      <c r="A149" s="237"/>
      <c r="B149" s="237"/>
      <c r="C149" s="237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 spans="1:26" ht="16.5" customHeight="1">
      <c r="A150" s="237"/>
      <c r="B150" s="237"/>
      <c r="C150" s="237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 spans="1:26" ht="16.5" customHeight="1">
      <c r="A151" s="237"/>
      <c r="B151" s="237"/>
      <c r="C151" s="237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 spans="1:26" ht="16.5" customHeight="1">
      <c r="A152" s="237"/>
      <c r="B152" s="237"/>
      <c r="C152" s="237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 spans="1:26" ht="16.5" customHeight="1">
      <c r="A153" s="237"/>
      <c r="B153" s="237"/>
      <c r="C153" s="237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 spans="1:26" ht="16.5" customHeight="1">
      <c r="A154" s="237"/>
      <c r="B154" s="237"/>
      <c r="C154" s="237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 spans="1:26" ht="16.5" customHeight="1">
      <c r="A155" s="237"/>
      <c r="B155" s="237"/>
      <c r="C155" s="237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 spans="1:26" ht="16.5" customHeight="1">
      <c r="A156" s="237"/>
      <c r="B156" s="237"/>
      <c r="C156" s="237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 spans="1:26" ht="16.5" customHeight="1">
      <c r="A157" s="237"/>
      <c r="B157" s="237"/>
      <c r="C157" s="237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 spans="1:26" ht="16.5" customHeight="1">
      <c r="A158" s="237"/>
      <c r="B158" s="237"/>
      <c r="C158" s="237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 spans="1:26" ht="16.5" customHeight="1">
      <c r="A159" s="237"/>
      <c r="B159" s="237"/>
      <c r="C159" s="237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 spans="1:26" ht="16.5" customHeight="1">
      <c r="A160" s="237"/>
      <c r="B160" s="237"/>
      <c r="C160" s="237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 spans="1:26" ht="16.5" customHeight="1">
      <c r="A161" s="237"/>
      <c r="B161" s="237"/>
      <c r="C161" s="237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 spans="1:26" ht="16.5" customHeight="1">
      <c r="A162" s="237"/>
      <c r="B162" s="237"/>
      <c r="C162" s="237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 spans="1:26" ht="16.5" customHeight="1">
      <c r="A163" s="237"/>
      <c r="B163" s="237"/>
      <c r="C163" s="237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 spans="1:26" ht="16.5" customHeight="1">
      <c r="A164" s="237"/>
      <c r="B164" s="237"/>
      <c r="C164" s="237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 spans="1:26" ht="16.5" customHeight="1">
      <c r="A165" s="237"/>
      <c r="B165" s="237"/>
      <c r="C165" s="237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 spans="1:26" ht="16.5" customHeight="1">
      <c r="A166" s="237"/>
      <c r="B166" s="237"/>
      <c r="C166" s="237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 spans="1:26" ht="16.5" customHeight="1">
      <c r="A167" s="237"/>
      <c r="B167" s="237"/>
      <c r="C167" s="237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 spans="1:26" ht="16.5" customHeight="1">
      <c r="A168" s="237"/>
      <c r="B168" s="237"/>
      <c r="C168" s="237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 spans="1:26" ht="16.5" customHeight="1">
      <c r="A169" s="237"/>
      <c r="B169" s="237"/>
      <c r="C169" s="237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 spans="1:26" ht="16.5" customHeight="1">
      <c r="A170" s="237"/>
      <c r="B170" s="237"/>
      <c r="C170" s="237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 spans="1:26" ht="16.5" customHeight="1">
      <c r="A171" s="237"/>
      <c r="B171" s="237"/>
      <c r="C171" s="237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 spans="1:26" ht="16.5" customHeight="1">
      <c r="A172" s="237"/>
      <c r="B172" s="237"/>
      <c r="C172" s="237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 spans="1:26" ht="16.5" customHeight="1">
      <c r="A173" s="237"/>
      <c r="B173" s="237"/>
      <c r="C173" s="237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 spans="1:26" ht="16.5" customHeight="1">
      <c r="A174" s="237"/>
      <c r="B174" s="237"/>
      <c r="C174" s="237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 spans="1:26" ht="16.5" customHeight="1">
      <c r="A175" s="237"/>
      <c r="B175" s="237"/>
      <c r="C175" s="237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 spans="1:26" ht="16.5" customHeight="1">
      <c r="A176" s="237"/>
      <c r="B176" s="237"/>
      <c r="C176" s="237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 spans="1:26" ht="16.5" customHeight="1">
      <c r="A177" s="237"/>
      <c r="B177" s="237"/>
      <c r="C177" s="237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 spans="1:26" ht="16.5" customHeight="1">
      <c r="A178" s="237"/>
      <c r="B178" s="237"/>
      <c r="C178" s="237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 spans="1:26" ht="16.5" customHeight="1">
      <c r="A179" s="237"/>
      <c r="B179" s="237"/>
      <c r="C179" s="237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 spans="1:26" ht="16.5" customHeight="1">
      <c r="A180" s="237"/>
      <c r="B180" s="237"/>
      <c r="C180" s="237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 spans="1:26" ht="16.5" customHeight="1">
      <c r="A181" s="237"/>
      <c r="B181" s="237"/>
      <c r="C181" s="237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 spans="1:26" ht="16.5" customHeight="1">
      <c r="A182" s="237"/>
      <c r="B182" s="237"/>
      <c r="C182" s="237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 spans="1:26" ht="16.5" customHeight="1">
      <c r="A183" s="237"/>
      <c r="B183" s="237"/>
      <c r="C183" s="237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 spans="1:26" ht="16.5" customHeight="1">
      <c r="A184" s="237"/>
      <c r="B184" s="237"/>
      <c r="C184" s="237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 spans="1:26" ht="16.5" customHeight="1">
      <c r="A185" s="237"/>
      <c r="B185" s="237"/>
      <c r="C185" s="237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 spans="1:26" ht="16.5" customHeight="1">
      <c r="A186" s="237"/>
      <c r="B186" s="237"/>
      <c r="C186" s="237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 spans="1:26" ht="16.5" customHeight="1">
      <c r="A187" s="237"/>
      <c r="B187" s="237"/>
      <c r="C187" s="237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 spans="1:26" ht="16.5" customHeight="1">
      <c r="A188" s="237"/>
      <c r="B188" s="237"/>
      <c r="C188" s="237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 spans="1:26" ht="16.5" customHeight="1">
      <c r="A189" s="237"/>
      <c r="B189" s="237"/>
      <c r="C189" s="237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 spans="1:26" ht="16.5" customHeight="1">
      <c r="A190" s="237"/>
      <c r="B190" s="237"/>
      <c r="C190" s="237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 spans="1:26" ht="16.5" customHeight="1">
      <c r="A191" s="237"/>
      <c r="B191" s="237"/>
      <c r="C191" s="237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 spans="1:26" ht="16.5" customHeight="1">
      <c r="A192" s="237"/>
      <c r="B192" s="237"/>
      <c r="C192" s="237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 spans="1:26" ht="16.5" customHeight="1">
      <c r="A193" s="237"/>
      <c r="B193" s="237"/>
      <c r="C193" s="237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 spans="1:26" ht="16.5" customHeight="1">
      <c r="A194" s="237"/>
      <c r="B194" s="237"/>
      <c r="C194" s="237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 spans="1:26" ht="16.5" customHeight="1">
      <c r="A195" s="237"/>
      <c r="B195" s="237"/>
      <c r="C195" s="237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 spans="1:26" ht="16.5" customHeight="1">
      <c r="A196" s="237"/>
      <c r="B196" s="237"/>
      <c r="C196" s="237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 spans="1:26" ht="16.5" customHeight="1">
      <c r="A197" s="237"/>
      <c r="B197" s="237"/>
      <c r="C197" s="237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 spans="1:26" ht="16.5" customHeight="1">
      <c r="A198" s="237"/>
      <c r="B198" s="237"/>
      <c r="C198" s="237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 spans="1:26" ht="16.5" customHeight="1">
      <c r="A199" s="237"/>
      <c r="B199" s="237"/>
      <c r="C199" s="237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 spans="1:26" ht="16.5" customHeight="1">
      <c r="A200" s="237"/>
      <c r="B200" s="237"/>
      <c r="C200" s="237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 spans="1:26" ht="16.5" customHeight="1">
      <c r="A201" s="237"/>
      <c r="B201" s="237"/>
      <c r="C201" s="237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 spans="1:26" ht="16.5" customHeight="1">
      <c r="A202" s="237"/>
      <c r="B202" s="237"/>
      <c r="C202" s="237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 spans="1:26" ht="16.5" customHeight="1">
      <c r="A203" s="237"/>
      <c r="B203" s="237"/>
      <c r="C203" s="237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 spans="1:26" ht="16.5" customHeight="1">
      <c r="A204" s="237"/>
      <c r="B204" s="237"/>
      <c r="C204" s="237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 spans="1:26" ht="16.5" customHeight="1">
      <c r="A205" s="237"/>
      <c r="B205" s="237"/>
      <c r="C205" s="237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 spans="1:26" ht="16.5" customHeight="1">
      <c r="A206" s="237"/>
      <c r="B206" s="237"/>
      <c r="C206" s="237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 spans="1:26" ht="16.5" customHeight="1">
      <c r="A207" s="237"/>
      <c r="B207" s="237"/>
      <c r="C207" s="237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 spans="1:26" ht="16.5" customHeight="1">
      <c r="A208" s="237"/>
      <c r="B208" s="237"/>
      <c r="C208" s="237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 spans="1:26" ht="16.5" customHeight="1">
      <c r="A209" s="237"/>
      <c r="B209" s="237"/>
      <c r="C209" s="237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 spans="1:26" ht="16.5" customHeight="1">
      <c r="A210" s="237"/>
      <c r="B210" s="237"/>
      <c r="C210" s="237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 spans="1:26" ht="16.5" customHeight="1">
      <c r="A211" s="237"/>
      <c r="B211" s="237"/>
      <c r="C211" s="237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 spans="1:26" ht="16.5" customHeight="1">
      <c r="A212" s="237"/>
      <c r="B212" s="237"/>
      <c r="C212" s="237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 spans="1:26" ht="16.5" customHeight="1">
      <c r="A213" s="237"/>
      <c r="B213" s="237"/>
      <c r="C213" s="237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 spans="1:26" ht="16.5" customHeight="1">
      <c r="A214" s="237"/>
      <c r="B214" s="237"/>
      <c r="C214" s="237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 spans="1:26" ht="16.5" customHeight="1">
      <c r="A215" s="237"/>
      <c r="B215" s="237"/>
      <c r="C215" s="237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 spans="1:26" ht="16.5" customHeight="1">
      <c r="A216" s="237"/>
      <c r="B216" s="237"/>
      <c r="C216" s="237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 spans="1:26" ht="16.5" customHeight="1">
      <c r="A217" s="237"/>
      <c r="B217" s="237"/>
      <c r="C217" s="237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 spans="1:26" ht="16.5" customHeight="1">
      <c r="A218" s="237"/>
      <c r="B218" s="237"/>
      <c r="C218" s="237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 spans="1:26" ht="16.5" customHeight="1">
      <c r="A219" s="237"/>
      <c r="B219" s="237"/>
      <c r="C219" s="237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 spans="1:26" ht="16.5" customHeight="1">
      <c r="A220" s="237"/>
      <c r="B220" s="237"/>
      <c r="C220" s="237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 spans="1:26" ht="16.5" customHeight="1">
      <c r="A221" s="237"/>
      <c r="B221" s="237"/>
      <c r="C221" s="237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 spans="1:26" ht="16.5" customHeight="1">
      <c r="A222" s="237"/>
      <c r="B222" s="237"/>
      <c r="C222" s="237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 spans="1:26" ht="16.5" customHeight="1">
      <c r="A223" s="237"/>
      <c r="B223" s="237"/>
      <c r="C223" s="237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 spans="1:26" ht="16.5" customHeight="1">
      <c r="A224" s="237"/>
      <c r="B224" s="237"/>
      <c r="C224" s="237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 spans="1:26" ht="16.5" customHeight="1">
      <c r="A225" s="237"/>
      <c r="B225" s="237"/>
      <c r="C225" s="237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 spans="1:26" ht="16.5" customHeight="1">
      <c r="A226" s="237"/>
      <c r="B226" s="237"/>
      <c r="C226" s="237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</row>
    <row r="227" spans="1:26" ht="16.5" customHeight="1">
      <c r="A227" s="237"/>
      <c r="B227" s="237"/>
      <c r="C227" s="237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</row>
    <row r="228" spans="1:26" ht="16.5" customHeight="1">
      <c r="A228" s="237"/>
      <c r="B228" s="237"/>
      <c r="C228" s="237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</row>
    <row r="229" spans="1:26" ht="16.5" customHeight="1">
      <c r="A229" s="237"/>
      <c r="B229" s="237"/>
      <c r="C229" s="237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  <c r="Z229" s="226"/>
    </row>
    <row r="230" spans="1:26" ht="16.5" customHeight="1">
      <c r="A230" s="237"/>
      <c r="B230" s="237"/>
      <c r="C230" s="237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</row>
    <row r="231" spans="1:26" ht="16.5" customHeight="1">
      <c r="A231" s="237"/>
      <c r="B231" s="237"/>
      <c r="C231" s="237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</row>
    <row r="232" spans="1:26" ht="16.5" customHeight="1">
      <c r="A232" s="237"/>
      <c r="B232" s="237"/>
      <c r="C232" s="237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</row>
    <row r="233" spans="1:26" ht="16.5" customHeight="1">
      <c r="A233" s="237"/>
      <c r="B233" s="237"/>
      <c r="C233" s="237"/>
      <c r="D233" s="226"/>
      <c r="E233" s="226"/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26"/>
      <c r="V233" s="226"/>
      <c r="W233" s="226"/>
      <c r="X233" s="226"/>
      <c r="Y233" s="226"/>
      <c r="Z233" s="226"/>
    </row>
    <row r="234" spans="1:26" ht="16.5" customHeight="1">
      <c r="A234" s="237"/>
      <c r="B234" s="237"/>
      <c r="C234" s="237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</row>
    <row r="235" spans="1:26" ht="16.5" customHeight="1">
      <c r="A235" s="237"/>
      <c r="B235" s="237"/>
      <c r="C235" s="237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</row>
    <row r="236" spans="1:26" ht="16.5" customHeight="1">
      <c r="A236" s="237"/>
      <c r="B236" s="237"/>
      <c r="C236" s="237"/>
      <c r="D236" s="226"/>
      <c r="E236" s="226"/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26"/>
      <c r="T236" s="226"/>
      <c r="U236" s="226"/>
      <c r="V236" s="226"/>
      <c r="W236" s="226"/>
      <c r="X236" s="226"/>
      <c r="Y236" s="226"/>
      <c r="Z236" s="226"/>
    </row>
    <row r="237" spans="1:26" ht="16.5" customHeight="1">
      <c r="A237" s="237"/>
      <c r="B237" s="237"/>
      <c r="C237" s="237"/>
      <c r="D237" s="226"/>
      <c r="E237" s="226"/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  <c r="Z237" s="226"/>
    </row>
    <row r="238" spans="1:26" ht="16.5" customHeight="1">
      <c r="A238" s="237"/>
      <c r="B238" s="237"/>
      <c r="C238" s="237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</row>
    <row r="239" spans="1:26" ht="16.5" customHeight="1">
      <c r="A239" s="237"/>
      <c r="B239" s="237"/>
      <c r="C239" s="237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6"/>
      <c r="V239" s="226"/>
      <c r="W239" s="226"/>
      <c r="X239" s="226"/>
      <c r="Y239" s="226"/>
      <c r="Z239" s="226"/>
    </row>
    <row r="240" spans="1:26" ht="16.5" customHeight="1">
      <c r="A240" s="237"/>
      <c r="B240" s="237"/>
      <c r="C240" s="237"/>
      <c r="D240" s="226"/>
      <c r="E240" s="226"/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  <c r="Z240" s="226"/>
    </row>
    <row r="241" spans="1:26" ht="16.5" customHeight="1">
      <c r="A241" s="237"/>
      <c r="B241" s="237"/>
      <c r="C241" s="237"/>
      <c r="D241" s="226"/>
      <c r="E241" s="226"/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  <c r="T241" s="226"/>
      <c r="U241" s="226"/>
      <c r="V241" s="226"/>
      <c r="W241" s="226"/>
      <c r="X241" s="226"/>
      <c r="Y241" s="226"/>
      <c r="Z241" s="226"/>
    </row>
    <row r="242" spans="1:26" ht="16.5" customHeight="1">
      <c r="A242" s="237"/>
      <c r="B242" s="237"/>
      <c r="C242" s="237"/>
      <c r="D242" s="226"/>
      <c r="E242" s="226"/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  <c r="T242" s="226"/>
      <c r="U242" s="226"/>
      <c r="V242" s="226"/>
      <c r="W242" s="226"/>
      <c r="X242" s="226"/>
      <c r="Y242" s="226"/>
      <c r="Z242" s="226"/>
    </row>
    <row r="243" spans="1:26" ht="16.5" customHeight="1">
      <c r="A243" s="237"/>
      <c r="B243" s="237"/>
      <c r="C243" s="237"/>
      <c r="D243" s="226"/>
      <c r="E243" s="226"/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  <c r="T243" s="226"/>
      <c r="U243" s="226"/>
      <c r="V243" s="226"/>
      <c r="W243" s="226"/>
      <c r="X243" s="226"/>
      <c r="Y243" s="226"/>
      <c r="Z243" s="226"/>
    </row>
    <row r="244" spans="1:26" ht="16.5" customHeight="1">
      <c r="A244" s="237"/>
      <c r="B244" s="237"/>
      <c r="C244" s="237"/>
      <c r="D244" s="226"/>
      <c r="E244" s="226"/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  <c r="T244" s="226"/>
      <c r="U244" s="226"/>
      <c r="V244" s="226"/>
      <c r="W244" s="226"/>
      <c r="X244" s="226"/>
      <c r="Y244" s="226"/>
      <c r="Z244" s="226"/>
    </row>
    <row r="245" spans="1:26" ht="16.5" customHeight="1">
      <c r="A245" s="237"/>
      <c r="B245" s="237"/>
      <c r="C245" s="237"/>
      <c r="D245" s="226"/>
      <c r="E245" s="226"/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  <c r="T245" s="226"/>
      <c r="U245" s="226"/>
      <c r="V245" s="226"/>
      <c r="W245" s="226"/>
      <c r="X245" s="226"/>
      <c r="Y245" s="226"/>
      <c r="Z245" s="226"/>
    </row>
    <row r="246" spans="1:26" ht="16.5" customHeight="1">
      <c r="A246" s="237"/>
      <c r="B246" s="237"/>
      <c r="C246" s="237"/>
      <c r="D246" s="226"/>
      <c r="E246" s="226"/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  <c r="Z246" s="226"/>
    </row>
    <row r="247" spans="1:26" ht="16.5" customHeight="1">
      <c r="A247" s="237"/>
      <c r="B247" s="237"/>
      <c r="C247" s="237"/>
      <c r="D247" s="226"/>
      <c r="E247" s="226"/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  <c r="Z247" s="226"/>
    </row>
    <row r="248" spans="1:26" ht="16.5" customHeight="1">
      <c r="A248" s="237"/>
      <c r="B248" s="237"/>
      <c r="C248" s="237"/>
      <c r="D248" s="226"/>
      <c r="E248" s="226"/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  <c r="T248" s="226"/>
      <c r="U248" s="226"/>
      <c r="V248" s="226"/>
      <c r="W248" s="226"/>
      <c r="X248" s="226"/>
      <c r="Y248" s="226"/>
      <c r="Z248" s="226"/>
    </row>
    <row r="249" spans="1:26" ht="16.5" customHeight="1">
      <c r="A249" s="237"/>
      <c r="B249" s="237"/>
      <c r="C249" s="237"/>
      <c r="D249" s="226"/>
      <c r="E249" s="226"/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26"/>
      <c r="T249" s="226"/>
      <c r="U249" s="226"/>
      <c r="V249" s="226"/>
      <c r="W249" s="226"/>
      <c r="X249" s="226"/>
      <c r="Y249" s="226"/>
      <c r="Z249" s="226"/>
    </row>
    <row r="250" spans="1:26" ht="16.5" customHeight="1">
      <c r="A250" s="237"/>
      <c r="B250" s="237"/>
      <c r="C250" s="237"/>
      <c r="D250" s="226"/>
      <c r="E250" s="226"/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26"/>
      <c r="T250" s="226"/>
      <c r="U250" s="226"/>
      <c r="V250" s="226"/>
      <c r="W250" s="226"/>
      <c r="X250" s="226"/>
      <c r="Y250" s="226"/>
      <c r="Z250" s="226"/>
    </row>
    <row r="251" spans="1:26" ht="16.5" customHeight="1">
      <c r="A251" s="237"/>
      <c r="B251" s="237"/>
      <c r="C251" s="237"/>
      <c r="D251" s="226"/>
      <c r="E251" s="226"/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26"/>
      <c r="T251" s="226"/>
      <c r="U251" s="226"/>
      <c r="V251" s="226"/>
      <c r="W251" s="226"/>
      <c r="X251" s="226"/>
      <c r="Y251" s="226"/>
      <c r="Z251" s="226"/>
    </row>
    <row r="252" spans="1:26" ht="16.5" customHeight="1">
      <c r="A252" s="237"/>
      <c r="B252" s="237"/>
      <c r="C252" s="237"/>
      <c r="D252" s="226"/>
      <c r="E252" s="226"/>
      <c r="F252" s="226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26"/>
      <c r="T252" s="226"/>
      <c r="U252" s="226"/>
      <c r="V252" s="226"/>
      <c r="W252" s="226"/>
      <c r="X252" s="226"/>
      <c r="Y252" s="226"/>
      <c r="Z252" s="226"/>
    </row>
    <row r="253" spans="1:26" ht="16.5" customHeight="1">
      <c r="A253" s="237"/>
      <c r="B253" s="237"/>
      <c r="C253" s="237"/>
      <c r="D253" s="226"/>
      <c r="E253" s="226"/>
      <c r="F253" s="226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26"/>
      <c r="T253" s="226"/>
      <c r="U253" s="226"/>
      <c r="V253" s="226"/>
      <c r="W253" s="226"/>
      <c r="X253" s="226"/>
      <c r="Y253" s="226"/>
      <c r="Z253" s="226"/>
    </row>
    <row r="254" spans="1:26" ht="16.5" customHeight="1">
      <c r="A254" s="237"/>
      <c r="B254" s="237"/>
      <c r="C254" s="237"/>
      <c r="D254" s="226"/>
      <c r="E254" s="226"/>
      <c r="F254" s="226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26"/>
      <c r="T254" s="226"/>
      <c r="U254" s="226"/>
      <c r="V254" s="226"/>
      <c r="W254" s="226"/>
      <c r="X254" s="226"/>
      <c r="Y254" s="226"/>
      <c r="Z254" s="226"/>
    </row>
    <row r="255" spans="1:26" ht="16.5" customHeight="1">
      <c r="A255" s="237"/>
      <c r="B255" s="237"/>
      <c r="C255" s="237"/>
      <c r="D255" s="226"/>
      <c r="E255" s="226"/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  <c r="Z255" s="226"/>
    </row>
    <row r="256" spans="1:26" ht="16.5" customHeight="1">
      <c r="A256" s="237"/>
      <c r="B256" s="237"/>
      <c r="C256" s="237"/>
      <c r="D256" s="226"/>
      <c r="E256" s="226"/>
      <c r="F256" s="226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  <c r="Z256" s="226"/>
    </row>
    <row r="257" spans="1:26" ht="16.5" customHeight="1">
      <c r="A257" s="237"/>
      <c r="B257" s="237"/>
      <c r="C257" s="237"/>
      <c r="D257" s="226"/>
      <c r="E257" s="226"/>
      <c r="F257" s="226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26"/>
      <c r="T257" s="226"/>
      <c r="U257" s="226"/>
      <c r="V257" s="226"/>
      <c r="W257" s="226"/>
      <c r="X257" s="226"/>
      <c r="Y257" s="226"/>
      <c r="Z257" s="226"/>
    </row>
    <row r="258" spans="1:26" ht="16.5" customHeight="1">
      <c r="A258" s="237"/>
      <c r="B258" s="237"/>
      <c r="C258" s="237"/>
      <c r="D258" s="226"/>
      <c r="E258" s="226"/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  <c r="T258" s="226"/>
      <c r="U258" s="226"/>
      <c r="V258" s="226"/>
      <c r="W258" s="226"/>
      <c r="X258" s="226"/>
      <c r="Y258" s="226"/>
      <c r="Z258" s="226"/>
    </row>
    <row r="259" spans="1:26" ht="16.5" customHeight="1">
      <c r="A259" s="237"/>
      <c r="B259" s="237"/>
      <c r="C259" s="237"/>
      <c r="D259" s="226"/>
      <c r="E259" s="226"/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  <c r="Z259" s="226"/>
    </row>
    <row r="260" spans="1:26" ht="16.5" customHeight="1">
      <c r="A260" s="237"/>
      <c r="B260" s="237"/>
      <c r="C260" s="237"/>
      <c r="D260" s="226"/>
      <c r="E260" s="226"/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  <c r="Z260" s="226"/>
    </row>
    <row r="261" spans="1:26" ht="16.5" customHeight="1">
      <c r="A261" s="237"/>
      <c r="B261" s="237"/>
      <c r="C261" s="237"/>
      <c r="D261" s="226"/>
      <c r="E261" s="226"/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  <c r="T261" s="226"/>
      <c r="U261" s="226"/>
      <c r="V261" s="226"/>
      <c r="W261" s="226"/>
      <c r="X261" s="226"/>
      <c r="Y261" s="226"/>
      <c r="Z261" s="226"/>
    </row>
    <row r="262" spans="1:26" ht="16.5" customHeight="1">
      <c r="A262" s="237"/>
      <c r="B262" s="237"/>
      <c r="C262" s="237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  <c r="T262" s="226"/>
      <c r="U262" s="226"/>
      <c r="V262" s="226"/>
      <c r="W262" s="226"/>
      <c r="X262" s="226"/>
      <c r="Y262" s="226"/>
      <c r="Z262" s="226"/>
    </row>
    <row r="263" spans="1:26" ht="16.5" customHeight="1">
      <c r="A263" s="237"/>
      <c r="B263" s="237"/>
      <c r="C263" s="237"/>
      <c r="D263" s="226"/>
      <c r="E263" s="226"/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  <c r="T263" s="226"/>
      <c r="U263" s="226"/>
      <c r="V263" s="226"/>
      <c r="W263" s="226"/>
      <c r="X263" s="226"/>
      <c r="Y263" s="226"/>
      <c r="Z263" s="226"/>
    </row>
    <row r="264" spans="1:26" ht="16.5" customHeight="1">
      <c r="A264" s="237"/>
      <c r="B264" s="237"/>
      <c r="C264" s="237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6"/>
      <c r="U264" s="226"/>
      <c r="V264" s="226"/>
      <c r="W264" s="226"/>
      <c r="X264" s="226"/>
      <c r="Y264" s="226"/>
      <c r="Z264" s="226"/>
    </row>
    <row r="265" spans="1:26" ht="16.5" customHeight="1">
      <c r="A265" s="237"/>
      <c r="B265" s="237"/>
      <c r="C265" s="237"/>
      <c r="D265" s="226"/>
      <c r="E265" s="226"/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  <c r="T265" s="226"/>
      <c r="U265" s="226"/>
      <c r="V265" s="226"/>
      <c r="W265" s="226"/>
      <c r="X265" s="226"/>
      <c r="Y265" s="226"/>
      <c r="Z265" s="226"/>
    </row>
    <row r="266" spans="1:26" ht="16.5" customHeight="1">
      <c r="A266" s="237"/>
      <c r="B266" s="237"/>
      <c r="C266" s="237"/>
      <c r="D266" s="226"/>
      <c r="E266" s="226"/>
      <c r="F266" s="226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26"/>
      <c r="T266" s="226"/>
      <c r="U266" s="226"/>
      <c r="V266" s="226"/>
      <c r="W266" s="226"/>
      <c r="X266" s="226"/>
      <c r="Y266" s="226"/>
      <c r="Z266" s="226"/>
    </row>
    <row r="267" spans="1:26" ht="16.5" customHeight="1">
      <c r="A267" s="237"/>
      <c r="B267" s="237"/>
      <c r="C267" s="237"/>
      <c r="D267" s="226"/>
      <c r="E267" s="226"/>
      <c r="F267" s="226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26"/>
      <c r="T267" s="226"/>
      <c r="U267" s="226"/>
      <c r="V267" s="226"/>
      <c r="W267" s="226"/>
      <c r="X267" s="226"/>
      <c r="Y267" s="226"/>
      <c r="Z267" s="226"/>
    </row>
    <row r="268" spans="1:26" ht="16.5" customHeight="1">
      <c r="A268" s="237"/>
      <c r="B268" s="237"/>
      <c r="C268" s="237"/>
      <c r="D268" s="226"/>
      <c r="E268" s="226"/>
      <c r="F268" s="226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26"/>
      <c r="T268" s="226"/>
      <c r="U268" s="226"/>
      <c r="V268" s="226"/>
      <c r="W268" s="226"/>
      <c r="X268" s="226"/>
      <c r="Y268" s="226"/>
      <c r="Z268" s="226"/>
    </row>
    <row r="269" spans="1:26" ht="16.5" customHeight="1">
      <c r="A269" s="237"/>
      <c r="B269" s="237"/>
      <c r="C269" s="237"/>
      <c r="D269" s="226"/>
      <c r="E269" s="226"/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26"/>
      <c r="T269" s="226"/>
      <c r="U269" s="226"/>
      <c r="V269" s="226"/>
      <c r="W269" s="226"/>
      <c r="X269" s="226"/>
      <c r="Y269" s="226"/>
      <c r="Z269" s="226"/>
    </row>
    <row r="270" spans="1:26" ht="16.5" customHeight="1">
      <c r="A270" s="237"/>
      <c r="B270" s="237"/>
      <c r="C270" s="237"/>
      <c r="D270" s="226"/>
      <c r="E270" s="226"/>
      <c r="F270" s="226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26"/>
      <c r="T270" s="226"/>
      <c r="U270" s="226"/>
      <c r="V270" s="226"/>
      <c r="W270" s="226"/>
      <c r="X270" s="226"/>
      <c r="Y270" s="226"/>
      <c r="Z270" s="226"/>
    </row>
    <row r="271" spans="1:26" ht="16.5" customHeight="1">
      <c r="A271" s="237"/>
      <c r="B271" s="237"/>
      <c r="C271" s="237"/>
      <c r="D271" s="226"/>
      <c r="E271" s="226"/>
      <c r="F271" s="226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26"/>
      <c r="T271" s="226"/>
      <c r="U271" s="226"/>
      <c r="V271" s="226"/>
      <c r="W271" s="226"/>
      <c r="X271" s="226"/>
      <c r="Y271" s="226"/>
      <c r="Z271" s="226"/>
    </row>
    <row r="272" spans="1:26" ht="16.5" customHeight="1">
      <c r="A272" s="237"/>
      <c r="B272" s="237"/>
      <c r="C272" s="237"/>
      <c r="D272" s="226"/>
      <c r="E272" s="226"/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26"/>
      <c r="T272" s="226"/>
      <c r="U272" s="226"/>
      <c r="V272" s="226"/>
      <c r="W272" s="226"/>
      <c r="X272" s="226"/>
      <c r="Y272" s="226"/>
      <c r="Z272" s="226"/>
    </row>
    <row r="273" spans="1:26" ht="16.5" customHeight="1">
      <c r="A273" s="237"/>
      <c r="B273" s="237"/>
      <c r="C273" s="237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</row>
    <row r="274" spans="1:26" ht="16.5" customHeight="1">
      <c r="A274" s="237"/>
      <c r="B274" s="237"/>
      <c r="C274" s="237"/>
      <c r="D274" s="226"/>
      <c r="E274" s="226"/>
      <c r="F274" s="226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26"/>
      <c r="T274" s="226"/>
      <c r="U274" s="226"/>
      <c r="V274" s="226"/>
      <c r="W274" s="226"/>
      <c r="X274" s="226"/>
      <c r="Y274" s="226"/>
      <c r="Z274" s="226"/>
    </row>
    <row r="275" spans="1:26" ht="16.5" customHeight="1">
      <c r="A275" s="237"/>
      <c r="B275" s="237"/>
      <c r="C275" s="237"/>
      <c r="D275" s="226"/>
      <c r="E275" s="226"/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  <c r="Z275" s="226"/>
    </row>
    <row r="276" spans="1:26" ht="16.5" customHeight="1">
      <c r="A276" s="237"/>
      <c r="B276" s="237"/>
      <c r="C276" s="237"/>
      <c r="D276" s="226"/>
      <c r="E276" s="226"/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  <c r="T276" s="226"/>
      <c r="U276" s="226"/>
      <c r="V276" s="226"/>
      <c r="W276" s="226"/>
      <c r="X276" s="226"/>
      <c r="Y276" s="226"/>
      <c r="Z276" s="226"/>
    </row>
    <row r="277" spans="1:26" ht="16.5" customHeight="1">
      <c r="A277" s="237"/>
      <c r="B277" s="237"/>
      <c r="C277" s="237"/>
      <c r="D277" s="226"/>
      <c r="E277" s="226"/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  <c r="Z277" s="226"/>
    </row>
    <row r="278" spans="1:26" ht="16.5" customHeight="1">
      <c r="A278" s="237"/>
      <c r="B278" s="237"/>
      <c r="C278" s="237"/>
      <c r="D278" s="226"/>
      <c r="E278" s="226"/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  <c r="T278" s="226"/>
      <c r="U278" s="226"/>
      <c r="V278" s="226"/>
      <c r="W278" s="226"/>
      <c r="X278" s="226"/>
      <c r="Y278" s="226"/>
      <c r="Z278" s="226"/>
    </row>
    <row r="279" spans="1:26" ht="16.5" customHeight="1">
      <c r="A279" s="237"/>
      <c r="B279" s="237"/>
      <c r="C279" s="237"/>
      <c r="D279" s="226"/>
      <c r="E279" s="226"/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  <c r="Z279" s="226"/>
    </row>
    <row r="280" spans="1:26" ht="16.5" customHeight="1">
      <c r="A280" s="237"/>
      <c r="B280" s="237"/>
      <c r="C280" s="237"/>
      <c r="D280" s="226"/>
      <c r="E280" s="226"/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  <c r="T280" s="226"/>
      <c r="U280" s="226"/>
      <c r="V280" s="226"/>
      <c r="W280" s="226"/>
      <c r="X280" s="226"/>
      <c r="Y280" s="226"/>
      <c r="Z280" s="226"/>
    </row>
    <row r="281" spans="1:26" ht="16.5" customHeight="1">
      <c r="A281" s="237"/>
      <c r="B281" s="237"/>
      <c r="C281" s="237"/>
      <c r="D281" s="226"/>
      <c r="E281" s="226"/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  <c r="T281" s="226"/>
      <c r="U281" s="226"/>
      <c r="V281" s="226"/>
      <c r="W281" s="226"/>
      <c r="X281" s="226"/>
      <c r="Y281" s="226"/>
      <c r="Z281" s="226"/>
    </row>
    <row r="282" spans="1:26" ht="16.5" customHeight="1">
      <c r="A282" s="237"/>
      <c r="B282" s="237"/>
      <c r="C282" s="237"/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  <c r="T282" s="226"/>
      <c r="U282" s="226"/>
      <c r="V282" s="226"/>
      <c r="W282" s="226"/>
      <c r="X282" s="226"/>
      <c r="Y282" s="226"/>
      <c r="Z282" s="226"/>
    </row>
    <row r="283" spans="1:26" ht="16.5" customHeight="1">
      <c r="A283" s="237"/>
      <c r="B283" s="237"/>
      <c r="C283" s="237"/>
      <c r="D283" s="226"/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/>
      <c r="V283" s="226"/>
      <c r="W283" s="226"/>
      <c r="X283" s="226"/>
      <c r="Y283" s="226"/>
      <c r="Z283" s="226"/>
    </row>
    <row r="284" spans="1:26" ht="16.5" customHeight="1">
      <c r="A284" s="237"/>
      <c r="B284" s="237"/>
      <c r="C284" s="237"/>
      <c r="D284" s="226"/>
      <c r="E284" s="226"/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26"/>
      <c r="T284" s="226"/>
      <c r="U284" s="226"/>
      <c r="V284" s="226"/>
      <c r="W284" s="226"/>
      <c r="X284" s="226"/>
      <c r="Y284" s="226"/>
      <c r="Z284" s="226"/>
    </row>
    <row r="285" spans="1:26" ht="16.5" customHeight="1">
      <c r="A285" s="237"/>
      <c r="B285" s="237"/>
      <c r="C285" s="237"/>
      <c r="D285" s="226"/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/>
      <c r="V285" s="226"/>
      <c r="W285" s="226"/>
      <c r="X285" s="226"/>
      <c r="Y285" s="226"/>
      <c r="Z285" s="226"/>
    </row>
    <row r="286" spans="1:26" ht="16.5" customHeight="1">
      <c r="A286" s="237"/>
      <c r="B286" s="237"/>
      <c r="C286" s="237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  <c r="Z286" s="226"/>
    </row>
    <row r="287" spans="1:26" ht="16.5" customHeight="1">
      <c r="A287" s="237"/>
      <c r="B287" s="237"/>
      <c r="C287" s="237"/>
      <c r="D287" s="226"/>
      <c r="E287" s="226"/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  <c r="Z287" s="226"/>
    </row>
    <row r="288" spans="1:26" ht="16.5" customHeight="1">
      <c r="A288" s="237"/>
      <c r="B288" s="237"/>
      <c r="C288" s="237"/>
      <c r="D288" s="226"/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/>
      <c r="V288" s="226"/>
      <c r="W288" s="226"/>
      <c r="X288" s="226"/>
      <c r="Y288" s="226"/>
      <c r="Z288" s="226"/>
    </row>
    <row r="289" spans="1:26" ht="16.5" customHeight="1">
      <c r="A289" s="237"/>
      <c r="B289" s="237"/>
      <c r="C289" s="237"/>
      <c r="D289" s="226"/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/>
      <c r="V289" s="226"/>
      <c r="W289" s="226"/>
      <c r="X289" s="226"/>
      <c r="Y289" s="226"/>
      <c r="Z289" s="226"/>
    </row>
    <row r="290" spans="1:26" ht="16.5" customHeight="1">
      <c r="A290" s="237"/>
      <c r="B290" s="237"/>
      <c r="C290" s="237"/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  <c r="Z290" s="226"/>
    </row>
    <row r="291" spans="1:26" ht="16.5" customHeight="1">
      <c r="A291" s="237"/>
      <c r="B291" s="237"/>
      <c r="C291" s="237"/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  <c r="Z291" s="226"/>
    </row>
    <row r="292" spans="1:26" ht="16.5" customHeight="1">
      <c r="A292" s="237"/>
      <c r="B292" s="237"/>
      <c r="C292" s="237"/>
      <c r="D292" s="226"/>
      <c r="E292" s="226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/>
      <c r="V292" s="226"/>
      <c r="W292" s="226"/>
      <c r="X292" s="226"/>
      <c r="Y292" s="226"/>
      <c r="Z292" s="226"/>
    </row>
    <row r="293" spans="1:26" ht="16.5" customHeight="1">
      <c r="A293" s="237"/>
      <c r="B293" s="237"/>
      <c r="C293" s="237"/>
      <c r="D293" s="226"/>
      <c r="E293" s="226"/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  <c r="T293" s="226"/>
      <c r="U293" s="226"/>
      <c r="V293" s="226"/>
      <c r="W293" s="226"/>
      <c r="X293" s="226"/>
      <c r="Y293" s="226"/>
      <c r="Z293" s="226"/>
    </row>
    <row r="294" spans="1:26" ht="16.5" customHeight="1">
      <c r="A294" s="237"/>
      <c r="B294" s="237"/>
      <c r="C294" s="237"/>
      <c r="D294" s="226"/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/>
      <c r="V294" s="226"/>
      <c r="W294" s="226"/>
      <c r="X294" s="226"/>
      <c r="Y294" s="226"/>
      <c r="Z294" s="226"/>
    </row>
    <row r="295" spans="1:26" ht="16.5" customHeight="1">
      <c r="A295" s="237"/>
      <c r="B295" s="237"/>
      <c r="C295" s="237"/>
      <c r="D295" s="226"/>
      <c r="E295" s="226"/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  <c r="T295" s="226"/>
      <c r="U295" s="226"/>
      <c r="V295" s="226"/>
      <c r="W295" s="226"/>
      <c r="X295" s="226"/>
      <c r="Y295" s="226"/>
      <c r="Z295" s="226"/>
    </row>
    <row r="296" spans="1:26" ht="16.5" customHeight="1">
      <c r="A296" s="237"/>
      <c r="B296" s="237"/>
      <c r="C296" s="237"/>
      <c r="D296" s="226"/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  <c r="Z296" s="226"/>
    </row>
    <row r="297" spans="1:26" ht="16.5" customHeight="1">
      <c r="A297" s="237"/>
      <c r="B297" s="237"/>
      <c r="C297" s="237"/>
      <c r="D297" s="226"/>
      <c r="E297" s="226"/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  <c r="Z297" s="226"/>
    </row>
    <row r="298" spans="1:26" ht="16.5" customHeight="1">
      <c r="A298" s="237"/>
      <c r="B298" s="237"/>
      <c r="C298" s="237"/>
      <c r="D298" s="226"/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/>
      <c r="W298" s="226"/>
      <c r="X298" s="226"/>
      <c r="Y298" s="226"/>
      <c r="Z298" s="226"/>
    </row>
    <row r="299" spans="1:26" ht="16.5" customHeight="1">
      <c r="A299" s="237"/>
      <c r="B299" s="237"/>
      <c r="C299" s="237"/>
      <c r="D299" s="226"/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/>
      <c r="V299" s="226"/>
      <c r="W299" s="226"/>
      <c r="X299" s="226"/>
      <c r="Y299" s="226"/>
      <c r="Z299" s="226"/>
    </row>
    <row r="300" spans="1:26" ht="16.5" customHeight="1">
      <c r="A300" s="237"/>
      <c r="B300" s="237"/>
      <c r="C300" s="237"/>
      <c r="D300" s="226"/>
      <c r="E300" s="226"/>
      <c r="F300" s="226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26"/>
      <c r="T300" s="226"/>
      <c r="U300" s="226"/>
      <c r="V300" s="226"/>
      <c r="W300" s="226"/>
      <c r="X300" s="226"/>
      <c r="Y300" s="226"/>
      <c r="Z300" s="226"/>
    </row>
    <row r="301" spans="1:26" ht="16.5" customHeight="1">
      <c r="A301" s="237"/>
      <c r="B301" s="237"/>
      <c r="C301" s="237"/>
      <c r="D301" s="226"/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/>
      <c r="V301" s="226"/>
      <c r="W301" s="226"/>
      <c r="X301" s="226"/>
      <c r="Y301" s="226"/>
      <c r="Z301" s="226"/>
    </row>
    <row r="302" spans="1:26" ht="16.5" customHeight="1">
      <c r="A302" s="237"/>
      <c r="B302" s="237"/>
      <c r="C302" s="237"/>
      <c r="D302" s="226"/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/>
      <c r="V302" s="226"/>
      <c r="W302" s="226"/>
      <c r="X302" s="226"/>
      <c r="Y302" s="226"/>
      <c r="Z302" s="226"/>
    </row>
    <row r="303" spans="1:26" ht="16.5" customHeight="1">
      <c r="A303" s="237"/>
      <c r="B303" s="237"/>
      <c r="C303" s="237"/>
      <c r="D303" s="226"/>
      <c r="E303" s="226"/>
      <c r="F303" s="226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26"/>
      <c r="T303" s="226"/>
      <c r="U303" s="226"/>
      <c r="V303" s="226"/>
      <c r="W303" s="226"/>
      <c r="X303" s="226"/>
      <c r="Y303" s="226"/>
      <c r="Z303" s="226"/>
    </row>
    <row r="304" spans="1:26" ht="16.5" customHeight="1">
      <c r="A304" s="237"/>
      <c r="B304" s="237"/>
      <c r="C304" s="237"/>
      <c r="D304" s="226"/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  <c r="Z304" s="226"/>
    </row>
    <row r="305" spans="1:26" ht="16.5" customHeight="1">
      <c r="A305" s="237"/>
      <c r="B305" s="237"/>
      <c r="C305" s="237"/>
      <c r="D305" s="226"/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  <c r="Z305" s="226"/>
    </row>
    <row r="306" spans="1:26" ht="16.5" customHeight="1">
      <c r="A306" s="237"/>
      <c r="B306" s="237"/>
      <c r="C306" s="237"/>
      <c r="D306" s="226"/>
      <c r="E306" s="226"/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26"/>
      <c r="T306" s="226"/>
      <c r="U306" s="226"/>
      <c r="V306" s="226"/>
      <c r="W306" s="226"/>
      <c r="X306" s="226"/>
      <c r="Y306" s="226"/>
      <c r="Z306" s="226"/>
    </row>
    <row r="307" spans="1:26" ht="16.5" customHeight="1">
      <c r="A307" s="237"/>
      <c r="B307" s="237"/>
      <c r="C307" s="237"/>
      <c r="D307" s="226"/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/>
      <c r="T307" s="226"/>
      <c r="U307" s="226"/>
      <c r="V307" s="226"/>
      <c r="W307" s="226"/>
      <c r="X307" s="226"/>
      <c r="Y307" s="226"/>
      <c r="Z307" s="226"/>
    </row>
    <row r="308" spans="1:26" ht="16.5" customHeight="1">
      <c r="A308" s="237"/>
      <c r="B308" s="237"/>
      <c r="C308" s="237"/>
      <c r="D308" s="226"/>
      <c r="E308" s="226"/>
      <c r="F308" s="226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  <c r="Z308" s="226"/>
    </row>
    <row r="309" spans="1:26" ht="16.5" customHeight="1">
      <c r="A309" s="237"/>
      <c r="B309" s="237"/>
      <c r="C309" s="237"/>
      <c r="D309" s="226"/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  <c r="T309" s="226"/>
      <c r="U309" s="226"/>
      <c r="V309" s="226"/>
      <c r="W309" s="226"/>
      <c r="X309" s="226"/>
      <c r="Y309" s="226"/>
      <c r="Z309" s="226"/>
    </row>
    <row r="310" spans="1:26" ht="16.5" customHeight="1">
      <c r="A310" s="237"/>
      <c r="B310" s="237"/>
      <c r="C310" s="237"/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  <c r="Z310" s="226"/>
    </row>
    <row r="311" spans="1:26" ht="16.5" customHeight="1">
      <c r="A311" s="237"/>
      <c r="B311" s="237"/>
      <c r="C311" s="237"/>
      <c r="D311" s="226"/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  <c r="Z311" s="226"/>
    </row>
    <row r="312" spans="1:26" ht="16.5" customHeight="1">
      <c r="A312" s="237"/>
      <c r="B312" s="237"/>
      <c r="C312" s="237"/>
      <c r="D312" s="226"/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  <c r="Z312" s="226"/>
    </row>
    <row r="313" spans="1:26" ht="16.5" customHeight="1">
      <c r="A313" s="237"/>
      <c r="B313" s="237"/>
      <c r="C313" s="237"/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  <c r="T313" s="226"/>
      <c r="U313" s="226"/>
      <c r="V313" s="226"/>
      <c r="W313" s="226"/>
      <c r="X313" s="226"/>
      <c r="Y313" s="226"/>
      <c r="Z313" s="226"/>
    </row>
    <row r="314" spans="1:26" ht="16.5" customHeight="1">
      <c r="A314" s="237"/>
      <c r="B314" s="237"/>
      <c r="C314" s="237"/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  <c r="T314" s="226"/>
      <c r="U314" s="226"/>
      <c r="V314" s="226"/>
      <c r="W314" s="226"/>
      <c r="X314" s="226"/>
      <c r="Y314" s="226"/>
      <c r="Z314" s="226"/>
    </row>
    <row r="315" spans="1:26" ht="16.5" customHeight="1">
      <c r="A315" s="237"/>
      <c r="B315" s="237"/>
      <c r="C315" s="237"/>
      <c r="D315" s="226"/>
      <c r="E315" s="226"/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  <c r="T315" s="226"/>
      <c r="U315" s="226"/>
      <c r="V315" s="226"/>
      <c r="W315" s="226"/>
      <c r="X315" s="226"/>
      <c r="Y315" s="226"/>
      <c r="Z315" s="226"/>
    </row>
    <row r="316" spans="1:26" ht="16.5" customHeight="1">
      <c r="A316" s="237"/>
      <c r="B316" s="237"/>
      <c r="C316" s="237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  <c r="Z316" s="226"/>
    </row>
    <row r="317" spans="1:26" ht="16.5" customHeight="1">
      <c r="A317" s="237"/>
      <c r="B317" s="237"/>
      <c r="C317" s="237"/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  <c r="Z317" s="226"/>
    </row>
    <row r="318" spans="1:26" ht="16.5" customHeight="1">
      <c r="A318" s="237"/>
      <c r="B318" s="237"/>
      <c r="C318" s="237"/>
      <c r="D318" s="226"/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26"/>
      <c r="T318" s="226"/>
      <c r="U318" s="226"/>
      <c r="V318" s="226"/>
      <c r="W318" s="226"/>
      <c r="X318" s="226"/>
      <c r="Y318" s="226"/>
      <c r="Z318" s="226"/>
    </row>
    <row r="319" spans="1:26" ht="16.5" customHeight="1">
      <c r="A319" s="237"/>
      <c r="B319" s="237"/>
      <c r="C319" s="237"/>
      <c r="D319" s="226"/>
      <c r="E319" s="226"/>
      <c r="F319" s="226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26"/>
      <c r="T319" s="226"/>
      <c r="U319" s="226"/>
      <c r="V319" s="226"/>
      <c r="W319" s="226"/>
      <c r="X319" s="226"/>
      <c r="Y319" s="226"/>
      <c r="Z319" s="226"/>
    </row>
    <row r="320" spans="1:26" ht="16.5" customHeight="1">
      <c r="A320" s="237"/>
      <c r="B320" s="237"/>
      <c r="C320" s="237"/>
      <c r="D320" s="226"/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  <c r="Z320" s="226"/>
    </row>
    <row r="321" spans="1:26" ht="16.5" customHeight="1">
      <c r="A321" s="237"/>
      <c r="B321" s="237"/>
      <c r="C321" s="237"/>
      <c r="D321" s="226"/>
      <c r="E321" s="226"/>
      <c r="F321" s="226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  <c r="Z321" s="226"/>
    </row>
    <row r="322" spans="1:26" ht="16.5" customHeight="1">
      <c r="A322" s="237"/>
      <c r="B322" s="237"/>
      <c r="C322" s="237"/>
      <c r="D322" s="226"/>
      <c r="E322" s="226"/>
      <c r="F322" s="226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26"/>
      <c r="T322" s="226"/>
      <c r="U322" s="226"/>
      <c r="V322" s="226"/>
      <c r="W322" s="226"/>
      <c r="X322" s="226"/>
      <c r="Y322" s="226"/>
      <c r="Z322" s="226"/>
    </row>
    <row r="323" spans="1:26" ht="16.5" customHeight="1">
      <c r="A323" s="237"/>
      <c r="B323" s="237"/>
      <c r="C323" s="237"/>
      <c r="D323" s="226"/>
      <c r="E323" s="226"/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  <c r="X323" s="226"/>
      <c r="Y323" s="226"/>
      <c r="Z323" s="226"/>
    </row>
    <row r="324" spans="1:26" ht="16.5" customHeight="1">
      <c r="A324" s="237"/>
      <c r="B324" s="237"/>
      <c r="C324" s="237"/>
      <c r="D324" s="226"/>
      <c r="E324" s="226"/>
      <c r="F324" s="226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226"/>
      <c r="S324" s="226"/>
      <c r="T324" s="226"/>
      <c r="U324" s="226"/>
      <c r="V324" s="226"/>
      <c r="W324" s="226"/>
      <c r="X324" s="226"/>
      <c r="Y324" s="226"/>
      <c r="Z324" s="226"/>
    </row>
    <row r="325" spans="1:26" ht="16.5" customHeight="1">
      <c r="A325" s="237"/>
      <c r="B325" s="237"/>
      <c r="C325" s="237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</row>
    <row r="326" spans="1:26" ht="16.5" customHeight="1">
      <c r="A326" s="237"/>
      <c r="B326" s="237"/>
      <c r="C326" s="237"/>
      <c r="D326" s="226"/>
      <c r="E326" s="226"/>
      <c r="F326" s="226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  <c r="T326" s="226"/>
      <c r="U326" s="226"/>
      <c r="V326" s="226"/>
      <c r="W326" s="226"/>
      <c r="X326" s="226"/>
      <c r="Y326" s="226"/>
      <c r="Z326" s="226"/>
    </row>
    <row r="327" spans="1:26" ht="16.5" customHeight="1">
      <c r="A327" s="237"/>
      <c r="B327" s="237"/>
      <c r="C327" s="237"/>
      <c r="D327" s="226"/>
      <c r="E327" s="226"/>
      <c r="F327" s="226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  <c r="Z327" s="226"/>
    </row>
    <row r="328" spans="1:26" ht="16.5" customHeight="1">
      <c r="A328" s="237"/>
      <c r="B328" s="237"/>
      <c r="C328" s="237"/>
      <c r="D328" s="226"/>
      <c r="E328" s="226"/>
      <c r="F328" s="226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  <c r="T328" s="226"/>
      <c r="U328" s="226"/>
      <c r="V328" s="226"/>
      <c r="W328" s="226"/>
      <c r="X328" s="226"/>
      <c r="Y328" s="226"/>
      <c r="Z328" s="226"/>
    </row>
    <row r="329" spans="1:26" ht="16.5" customHeight="1">
      <c r="A329" s="237"/>
      <c r="B329" s="237"/>
      <c r="C329" s="237"/>
      <c r="D329" s="226"/>
      <c r="E329" s="226"/>
      <c r="F329" s="226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  <c r="T329" s="226"/>
      <c r="U329" s="226"/>
      <c r="V329" s="226"/>
      <c r="W329" s="226"/>
      <c r="X329" s="226"/>
      <c r="Y329" s="226"/>
      <c r="Z329" s="226"/>
    </row>
    <row r="330" spans="1:26" ht="16.5" customHeight="1">
      <c r="A330" s="237"/>
      <c r="B330" s="237"/>
      <c r="C330" s="237"/>
      <c r="D330" s="226"/>
      <c r="E330" s="226"/>
      <c r="F330" s="226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  <c r="T330" s="226"/>
      <c r="U330" s="226"/>
      <c r="V330" s="226"/>
      <c r="W330" s="226"/>
      <c r="X330" s="226"/>
      <c r="Y330" s="226"/>
      <c r="Z330" s="226"/>
    </row>
    <row r="331" spans="1:26" ht="16.5" customHeight="1">
      <c r="A331" s="237"/>
      <c r="B331" s="237"/>
      <c r="C331" s="237"/>
      <c r="D331" s="226"/>
      <c r="E331" s="226"/>
      <c r="F331" s="226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  <c r="T331" s="226"/>
      <c r="U331" s="226"/>
      <c r="V331" s="226"/>
      <c r="W331" s="226"/>
      <c r="X331" s="226"/>
      <c r="Y331" s="226"/>
      <c r="Z331" s="226"/>
    </row>
    <row r="332" spans="1:26" ht="16.5" customHeight="1">
      <c r="A332" s="237"/>
      <c r="B332" s="237"/>
      <c r="C332" s="237"/>
      <c r="D332" s="226"/>
      <c r="E332" s="226"/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  <c r="T332" s="226"/>
      <c r="U332" s="226"/>
      <c r="V332" s="226"/>
      <c r="W332" s="226"/>
      <c r="X332" s="226"/>
      <c r="Y332" s="226"/>
      <c r="Z332" s="226"/>
    </row>
    <row r="333" spans="1:26" ht="16.5" customHeight="1">
      <c r="A333" s="237"/>
      <c r="B333" s="237"/>
      <c r="C333" s="237"/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6"/>
      <c r="V333" s="226"/>
      <c r="W333" s="226"/>
      <c r="X333" s="226"/>
      <c r="Y333" s="226"/>
      <c r="Z333" s="226"/>
    </row>
    <row r="334" spans="1:26" ht="16.5" customHeight="1">
      <c r="A334" s="237"/>
      <c r="B334" s="237"/>
      <c r="C334" s="237"/>
      <c r="D334" s="226"/>
      <c r="E334" s="226"/>
      <c r="F334" s="226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  <c r="T334" s="226"/>
      <c r="U334" s="226"/>
      <c r="V334" s="226"/>
      <c r="W334" s="226"/>
      <c r="X334" s="226"/>
      <c r="Y334" s="226"/>
      <c r="Z334" s="226"/>
    </row>
    <row r="335" spans="1:26" ht="16.5" customHeight="1">
      <c r="A335" s="237"/>
      <c r="B335" s="237"/>
      <c r="C335" s="237"/>
      <c r="D335" s="226"/>
      <c r="E335" s="226"/>
      <c r="F335" s="226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  <c r="T335" s="226"/>
      <c r="U335" s="226"/>
      <c r="V335" s="226"/>
      <c r="W335" s="226"/>
      <c r="X335" s="226"/>
      <c r="Y335" s="226"/>
      <c r="Z335" s="226"/>
    </row>
    <row r="336" spans="1:26" ht="16.5" customHeight="1">
      <c r="A336" s="237"/>
      <c r="B336" s="237"/>
      <c r="C336" s="237"/>
      <c r="D336" s="226"/>
      <c r="E336" s="226"/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  <c r="T336" s="226"/>
      <c r="U336" s="226"/>
      <c r="V336" s="226"/>
      <c r="W336" s="226"/>
      <c r="X336" s="226"/>
      <c r="Y336" s="226"/>
      <c r="Z336" s="226"/>
    </row>
    <row r="337" spans="1:26" ht="16.5" customHeight="1">
      <c r="A337" s="237"/>
      <c r="B337" s="237"/>
      <c r="C337" s="237"/>
      <c r="D337" s="226"/>
      <c r="E337" s="226"/>
      <c r="F337" s="226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  <c r="T337" s="226"/>
      <c r="U337" s="226"/>
      <c r="V337" s="226"/>
      <c r="W337" s="226"/>
      <c r="X337" s="226"/>
      <c r="Y337" s="226"/>
      <c r="Z337" s="226"/>
    </row>
    <row r="338" spans="1:26" ht="16.5" customHeight="1">
      <c r="A338" s="237"/>
      <c r="B338" s="237"/>
      <c r="C338" s="237"/>
      <c r="D338" s="226"/>
      <c r="E338" s="226"/>
      <c r="F338" s="226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  <c r="T338" s="226"/>
      <c r="U338" s="226"/>
      <c r="V338" s="226"/>
      <c r="W338" s="226"/>
      <c r="X338" s="226"/>
      <c r="Y338" s="226"/>
      <c r="Z338" s="226"/>
    </row>
    <row r="339" spans="1:26" ht="16.5" customHeight="1">
      <c r="A339" s="237"/>
      <c r="B339" s="237"/>
      <c r="C339" s="237"/>
      <c r="D339" s="226"/>
      <c r="E339" s="226"/>
      <c r="F339" s="226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  <c r="T339" s="226"/>
      <c r="U339" s="226"/>
      <c r="V339" s="226"/>
      <c r="W339" s="226"/>
      <c r="X339" s="226"/>
      <c r="Y339" s="226"/>
      <c r="Z339" s="226"/>
    </row>
    <row r="340" spans="1:26" ht="16.5" customHeight="1">
      <c r="A340" s="237"/>
      <c r="B340" s="237"/>
      <c r="C340" s="237"/>
      <c r="D340" s="226"/>
      <c r="E340" s="226"/>
      <c r="F340" s="226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226"/>
      <c r="S340" s="226"/>
      <c r="T340" s="226"/>
      <c r="U340" s="226"/>
      <c r="V340" s="226"/>
      <c r="W340" s="226"/>
      <c r="X340" s="226"/>
      <c r="Y340" s="226"/>
      <c r="Z340" s="226"/>
    </row>
    <row r="341" spans="1:26" ht="16.5" customHeight="1">
      <c r="A341" s="237"/>
      <c r="B341" s="237"/>
      <c r="C341" s="237"/>
      <c r="D341" s="226"/>
      <c r="E341" s="226"/>
      <c r="F341" s="226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226"/>
      <c r="S341" s="226"/>
      <c r="T341" s="226"/>
      <c r="U341" s="226"/>
      <c r="V341" s="226"/>
      <c r="W341" s="226"/>
      <c r="X341" s="226"/>
      <c r="Y341" s="226"/>
      <c r="Z341" s="226"/>
    </row>
    <row r="342" spans="1:26" ht="16.5" customHeight="1">
      <c r="A342" s="237"/>
      <c r="B342" s="237"/>
      <c r="C342" s="237"/>
      <c r="D342" s="226"/>
      <c r="E342" s="226"/>
      <c r="F342" s="226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226"/>
      <c r="S342" s="226"/>
      <c r="T342" s="226"/>
      <c r="U342" s="226"/>
      <c r="V342" s="226"/>
      <c r="W342" s="226"/>
      <c r="X342" s="226"/>
      <c r="Y342" s="226"/>
      <c r="Z342" s="226"/>
    </row>
    <row r="343" spans="1:26" ht="16.5" customHeight="1">
      <c r="A343" s="237"/>
      <c r="B343" s="237"/>
      <c r="C343" s="237"/>
      <c r="D343" s="226"/>
      <c r="E343" s="226"/>
      <c r="F343" s="226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226"/>
      <c r="S343" s="226"/>
      <c r="T343" s="226"/>
      <c r="U343" s="226"/>
      <c r="V343" s="226"/>
      <c r="W343" s="226"/>
      <c r="X343" s="226"/>
      <c r="Y343" s="226"/>
      <c r="Z343" s="226"/>
    </row>
    <row r="344" spans="1:26" ht="16.5" customHeight="1">
      <c r="A344" s="237"/>
      <c r="B344" s="237"/>
      <c r="C344" s="237"/>
      <c r="D344" s="226"/>
      <c r="E344" s="226"/>
      <c r="F344" s="226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226"/>
      <c r="S344" s="226"/>
      <c r="T344" s="226"/>
      <c r="U344" s="226"/>
      <c r="V344" s="226"/>
      <c r="W344" s="226"/>
      <c r="X344" s="226"/>
      <c r="Y344" s="226"/>
      <c r="Z344" s="226"/>
    </row>
    <row r="345" spans="1:26" ht="16.5" customHeight="1">
      <c r="A345" s="237"/>
      <c r="B345" s="237"/>
      <c r="C345" s="237"/>
      <c r="D345" s="226"/>
      <c r="E345" s="226"/>
      <c r="F345" s="226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226"/>
      <c r="S345" s="226"/>
      <c r="T345" s="226"/>
      <c r="U345" s="226"/>
      <c r="V345" s="226"/>
      <c r="W345" s="226"/>
      <c r="X345" s="226"/>
      <c r="Y345" s="226"/>
      <c r="Z345" s="226"/>
    </row>
    <row r="346" spans="1:26" ht="16.5" customHeight="1">
      <c r="A346" s="237"/>
      <c r="B346" s="237"/>
      <c r="C346" s="237"/>
      <c r="D346" s="226"/>
      <c r="E346" s="226"/>
      <c r="F346" s="226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226"/>
      <c r="S346" s="226"/>
      <c r="T346" s="226"/>
      <c r="U346" s="226"/>
      <c r="V346" s="226"/>
      <c r="W346" s="226"/>
      <c r="X346" s="226"/>
      <c r="Y346" s="226"/>
      <c r="Z346" s="226"/>
    </row>
    <row r="347" spans="1:26" ht="16.5" customHeight="1">
      <c r="A347" s="237"/>
      <c r="B347" s="237"/>
      <c r="C347" s="237"/>
      <c r="D347" s="226"/>
      <c r="E347" s="226"/>
      <c r="F347" s="226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226"/>
      <c r="S347" s="226"/>
      <c r="T347" s="226"/>
      <c r="U347" s="226"/>
      <c r="V347" s="226"/>
      <c r="W347" s="226"/>
      <c r="X347" s="226"/>
      <c r="Y347" s="226"/>
      <c r="Z347" s="226"/>
    </row>
    <row r="348" spans="1:26" ht="16.5" customHeight="1">
      <c r="A348" s="237"/>
      <c r="B348" s="237"/>
      <c r="C348" s="237"/>
      <c r="D348" s="226"/>
      <c r="E348" s="226"/>
      <c r="F348" s="226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226"/>
      <c r="S348" s="226"/>
      <c r="T348" s="226"/>
      <c r="U348" s="226"/>
      <c r="V348" s="226"/>
      <c r="W348" s="226"/>
      <c r="X348" s="226"/>
      <c r="Y348" s="226"/>
      <c r="Z348" s="226"/>
    </row>
    <row r="349" spans="1:26" ht="16.5" customHeight="1">
      <c r="A349" s="237"/>
      <c r="B349" s="237"/>
      <c r="C349" s="237"/>
      <c r="D349" s="226"/>
      <c r="E349" s="226"/>
      <c r="F349" s="226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226"/>
      <c r="S349" s="226"/>
      <c r="T349" s="226"/>
      <c r="U349" s="226"/>
      <c r="V349" s="226"/>
      <c r="W349" s="226"/>
      <c r="X349" s="226"/>
      <c r="Y349" s="226"/>
      <c r="Z349" s="226"/>
    </row>
    <row r="350" spans="1:26" ht="16.5" customHeight="1">
      <c r="A350" s="237"/>
      <c r="B350" s="237"/>
      <c r="C350" s="237"/>
      <c r="D350" s="226"/>
      <c r="E350" s="226"/>
      <c r="F350" s="226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226"/>
      <c r="S350" s="226"/>
      <c r="T350" s="226"/>
      <c r="U350" s="226"/>
      <c r="V350" s="226"/>
      <c r="W350" s="226"/>
      <c r="X350" s="226"/>
      <c r="Y350" s="226"/>
      <c r="Z350" s="226"/>
    </row>
    <row r="351" spans="1:26" ht="16.5" customHeight="1">
      <c r="A351" s="237"/>
      <c r="B351" s="237"/>
      <c r="C351" s="237"/>
      <c r="D351" s="226"/>
      <c r="E351" s="226"/>
      <c r="F351" s="226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226"/>
      <c r="S351" s="226"/>
      <c r="T351" s="226"/>
      <c r="U351" s="226"/>
      <c r="V351" s="226"/>
      <c r="W351" s="226"/>
      <c r="X351" s="226"/>
      <c r="Y351" s="226"/>
      <c r="Z351" s="226"/>
    </row>
    <row r="352" spans="1:26" ht="16.5" customHeight="1">
      <c r="A352" s="237"/>
      <c r="B352" s="237"/>
      <c r="C352" s="237"/>
      <c r="D352" s="226"/>
      <c r="E352" s="226"/>
      <c r="F352" s="226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226"/>
      <c r="S352" s="226"/>
      <c r="T352" s="226"/>
      <c r="U352" s="226"/>
      <c r="V352" s="226"/>
      <c r="W352" s="226"/>
      <c r="X352" s="226"/>
      <c r="Y352" s="226"/>
      <c r="Z352" s="226"/>
    </row>
    <row r="353" spans="1:26" ht="16.5" customHeight="1">
      <c r="A353" s="237"/>
      <c r="B353" s="237"/>
      <c r="C353" s="237"/>
      <c r="D353" s="226"/>
      <c r="E353" s="226"/>
      <c r="F353" s="226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226"/>
      <c r="S353" s="226"/>
      <c r="T353" s="226"/>
      <c r="U353" s="226"/>
      <c r="V353" s="226"/>
      <c r="W353" s="226"/>
      <c r="X353" s="226"/>
      <c r="Y353" s="226"/>
      <c r="Z353" s="226"/>
    </row>
    <row r="354" spans="1:26" ht="16.5" customHeight="1">
      <c r="A354" s="237"/>
      <c r="B354" s="237"/>
      <c r="C354" s="237"/>
      <c r="D354" s="226"/>
      <c r="E354" s="226"/>
      <c r="F354" s="226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226"/>
      <c r="S354" s="226"/>
      <c r="T354" s="226"/>
      <c r="U354" s="226"/>
      <c r="V354" s="226"/>
      <c r="W354" s="226"/>
      <c r="X354" s="226"/>
      <c r="Y354" s="226"/>
      <c r="Z354" s="226"/>
    </row>
    <row r="355" spans="1:26" ht="16.5" customHeight="1">
      <c r="A355" s="237"/>
      <c r="B355" s="237"/>
      <c r="C355" s="237"/>
      <c r="D355" s="226"/>
      <c r="E355" s="226"/>
      <c r="F355" s="226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226"/>
      <c r="S355" s="226"/>
      <c r="T355" s="226"/>
      <c r="U355" s="226"/>
      <c r="V355" s="226"/>
      <c r="W355" s="226"/>
      <c r="X355" s="226"/>
      <c r="Y355" s="226"/>
      <c r="Z355" s="226"/>
    </row>
    <row r="356" spans="1:26" ht="16.5" customHeight="1">
      <c r="A356" s="237"/>
      <c r="B356" s="237"/>
      <c r="C356" s="237"/>
      <c r="D356" s="226"/>
      <c r="E356" s="226"/>
      <c r="F356" s="226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226"/>
      <c r="S356" s="226"/>
      <c r="T356" s="226"/>
      <c r="U356" s="226"/>
      <c r="V356" s="226"/>
      <c r="W356" s="226"/>
      <c r="X356" s="226"/>
      <c r="Y356" s="226"/>
      <c r="Z356" s="226"/>
    </row>
    <row r="357" spans="1:26" ht="16.5" customHeight="1">
      <c r="A357" s="237"/>
      <c r="B357" s="237"/>
      <c r="C357" s="237"/>
      <c r="D357" s="226"/>
      <c r="E357" s="226"/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26"/>
      <c r="S357" s="226"/>
      <c r="T357" s="226"/>
      <c r="U357" s="226"/>
      <c r="V357" s="226"/>
      <c r="W357" s="226"/>
      <c r="X357" s="226"/>
      <c r="Y357" s="226"/>
      <c r="Z357" s="226"/>
    </row>
    <row r="358" spans="1:26" ht="16.5" customHeight="1">
      <c r="A358" s="237"/>
      <c r="B358" s="237"/>
      <c r="C358" s="237"/>
      <c r="D358" s="226"/>
      <c r="E358" s="226"/>
      <c r="F358" s="226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26"/>
      <c r="S358" s="226"/>
      <c r="T358" s="226"/>
      <c r="U358" s="226"/>
      <c r="V358" s="226"/>
      <c r="W358" s="226"/>
      <c r="X358" s="226"/>
      <c r="Y358" s="226"/>
      <c r="Z358" s="226"/>
    </row>
    <row r="359" spans="1:26" ht="16.5" customHeight="1">
      <c r="A359" s="237"/>
      <c r="B359" s="237"/>
      <c r="C359" s="237"/>
      <c r="D359" s="226"/>
      <c r="E359" s="226"/>
      <c r="F359" s="226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226"/>
      <c r="S359" s="226"/>
      <c r="T359" s="226"/>
      <c r="U359" s="226"/>
      <c r="V359" s="226"/>
      <c r="W359" s="226"/>
      <c r="X359" s="226"/>
      <c r="Y359" s="226"/>
      <c r="Z359" s="226"/>
    </row>
    <row r="360" spans="1:26" ht="16.5" customHeight="1">
      <c r="A360" s="237"/>
      <c r="B360" s="237"/>
      <c r="C360" s="237"/>
      <c r="D360" s="226"/>
      <c r="E360" s="226"/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26"/>
      <c r="S360" s="226"/>
      <c r="T360" s="226"/>
      <c r="U360" s="226"/>
      <c r="V360" s="226"/>
      <c r="W360" s="226"/>
      <c r="X360" s="226"/>
      <c r="Y360" s="226"/>
      <c r="Z360" s="226"/>
    </row>
    <row r="361" spans="1:26" ht="16.5" customHeight="1">
      <c r="A361" s="237"/>
      <c r="B361" s="237"/>
      <c r="C361" s="237"/>
      <c r="D361" s="226"/>
      <c r="E361" s="226"/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26"/>
      <c r="S361" s="226"/>
      <c r="T361" s="226"/>
      <c r="U361" s="226"/>
      <c r="V361" s="226"/>
      <c r="W361" s="226"/>
      <c r="X361" s="226"/>
      <c r="Y361" s="226"/>
      <c r="Z361" s="226"/>
    </row>
    <row r="362" spans="1:26" ht="16.5" customHeight="1">
      <c r="A362" s="237"/>
      <c r="B362" s="237"/>
      <c r="C362" s="237"/>
      <c r="D362" s="226"/>
      <c r="E362" s="226"/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26"/>
      <c r="S362" s="226"/>
      <c r="T362" s="226"/>
      <c r="U362" s="226"/>
      <c r="V362" s="226"/>
      <c r="W362" s="226"/>
      <c r="X362" s="226"/>
      <c r="Y362" s="226"/>
      <c r="Z362" s="226"/>
    </row>
    <row r="363" spans="1:26" ht="16.5" customHeight="1">
      <c r="A363" s="237"/>
      <c r="B363" s="237"/>
      <c r="C363" s="237"/>
      <c r="D363" s="226"/>
      <c r="E363" s="226"/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26"/>
      <c r="S363" s="226"/>
      <c r="T363" s="226"/>
      <c r="U363" s="226"/>
      <c r="V363" s="226"/>
      <c r="W363" s="226"/>
      <c r="X363" s="226"/>
      <c r="Y363" s="226"/>
      <c r="Z363" s="226"/>
    </row>
    <row r="364" spans="1:26" ht="16.5" customHeight="1">
      <c r="A364" s="237"/>
      <c r="B364" s="237"/>
      <c r="C364" s="237"/>
      <c r="D364" s="226"/>
      <c r="E364" s="226"/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  <c r="T364" s="226"/>
      <c r="U364" s="226"/>
      <c r="V364" s="226"/>
      <c r="W364" s="226"/>
      <c r="X364" s="226"/>
      <c r="Y364" s="226"/>
      <c r="Z364" s="226"/>
    </row>
    <row r="365" spans="1:26" ht="16.5" customHeight="1">
      <c r="A365" s="237"/>
      <c r="B365" s="237"/>
      <c r="C365" s="237"/>
      <c r="D365" s="226"/>
      <c r="E365" s="226"/>
      <c r="F365" s="226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226"/>
      <c r="S365" s="226"/>
      <c r="T365" s="226"/>
      <c r="U365" s="226"/>
      <c r="V365" s="226"/>
      <c r="W365" s="226"/>
      <c r="X365" s="226"/>
      <c r="Y365" s="226"/>
      <c r="Z365" s="226"/>
    </row>
    <row r="366" spans="1:26" ht="16.5" customHeight="1">
      <c r="A366" s="237"/>
      <c r="B366" s="237"/>
      <c r="C366" s="237"/>
      <c r="D366" s="226"/>
      <c r="E366" s="226"/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  <c r="T366" s="226"/>
      <c r="U366" s="226"/>
      <c r="V366" s="226"/>
      <c r="W366" s="226"/>
      <c r="X366" s="226"/>
      <c r="Y366" s="226"/>
      <c r="Z366" s="226"/>
    </row>
    <row r="367" spans="1:26" ht="16.5" customHeight="1">
      <c r="A367" s="237"/>
      <c r="B367" s="237"/>
      <c r="C367" s="237"/>
      <c r="D367" s="226"/>
      <c r="E367" s="226"/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  <c r="T367" s="226"/>
      <c r="U367" s="226"/>
      <c r="V367" s="226"/>
      <c r="W367" s="226"/>
      <c r="X367" s="226"/>
      <c r="Y367" s="226"/>
      <c r="Z367" s="226"/>
    </row>
    <row r="368" spans="1:26" ht="16.5" customHeight="1">
      <c r="A368" s="237"/>
      <c r="B368" s="237"/>
      <c r="C368" s="237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226"/>
      <c r="S368" s="226"/>
      <c r="T368" s="226"/>
      <c r="U368" s="226"/>
      <c r="V368" s="226"/>
      <c r="W368" s="226"/>
      <c r="X368" s="226"/>
      <c r="Y368" s="226"/>
      <c r="Z368" s="226"/>
    </row>
    <row r="369" spans="1:26" ht="16.5" customHeight="1">
      <c r="A369" s="237"/>
      <c r="B369" s="237"/>
      <c r="C369" s="237"/>
      <c r="D369" s="226"/>
      <c r="E369" s="226"/>
      <c r="F369" s="226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226"/>
      <c r="S369" s="226"/>
      <c r="T369" s="226"/>
      <c r="U369" s="226"/>
      <c r="V369" s="226"/>
      <c r="W369" s="226"/>
      <c r="X369" s="226"/>
      <c r="Y369" s="226"/>
      <c r="Z369" s="226"/>
    </row>
    <row r="370" spans="1:26" ht="16.5" customHeight="1">
      <c r="A370" s="237"/>
      <c r="B370" s="237"/>
      <c r="C370" s="237"/>
      <c r="D370" s="226"/>
      <c r="E370" s="226"/>
      <c r="F370" s="226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226"/>
      <c r="S370" s="226"/>
      <c r="T370" s="226"/>
      <c r="U370" s="226"/>
      <c r="V370" s="226"/>
      <c r="W370" s="226"/>
      <c r="X370" s="226"/>
      <c r="Y370" s="226"/>
      <c r="Z370" s="226"/>
    </row>
    <row r="371" spans="1:26" ht="16.5" customHeight="1">
      <c r="A371" s="237"/>
      <c r="B371" s="237"/>
      <c r="C371" s="237"/>
      <c r="D371" s="226"/>
      <c r="E371" s="226"/>
      <c r="F371" s="226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226"/>
      <c r="S371" s="226"/>
      <c r="T371" s="226"/>
      <c r="U371" s="226"/>
      <c r="V371" s="226"/>
      <c r="W371" s="226"/>
      <c r="X371" s="226"/>
      <c r="Y371" s="226"/>
      <c r="Z371" s="226"/>
    </row>
    <row r="372" spans="1:26" ht="16.5" customHeight="1">
      <c r="A372" s="237"/>
      <c r="B372" s="237"/>
      <c r="C372" s="237"/>
      <c r="D372" s="226"/>
      <c r="E372" s="226"/>
      <c r="F372" s="226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226"/>
      <c r="S372" s="226"/>
      <c r="T372" s="226"/>
      <c r="U372" s="226"/>
      <c r="V372" s="226"/>
      <c r="W372" s="226"/>
      <c r="X372" s="226"/>
      <c r="Y372" s="226"/>
      <c r="Z372" s="226"/>
    </row>
    <row r="373" spans="1:26" ht="16.5" customHeight="1">
      <c r="A373" s="237"/>
      <c r="B373" s="237"/>
      <c r="C373" s="237"/>
      <c r="D373" s="226"/>
      <c r="E373" s="226"/>
      <c r="F373" s="226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226"/>
      <c r="S373" s="226"/>
      <c r="T373" s="226"/>
      <c r="U373" s="226"/>
      <c r="V373" s="226"/>
      <c r="W373" s="226"/>
      <c r="X373" s="226"/>
      <c r="Y373" s="226"/>
      <c r="Z373" s="226"/>
    </row>
    <row r="374" spans="1:26" ht="16.5" customHeight="1">
      <c r="A374" s="237"/>
      <c r="B374" s="237"/>
      <c r="C374" s="237"/>
      <c r="D374" s="226"/>
      <c r="E374" s="226"/>
      <c r="F374" s="226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226"/>
      <c r="S374" s="226"/>
      <c r="T374" s="226"/>
      <c r="U374" s="226"/>
      <c r="V374" s="226"/>
      <c r="W374" s="226"/>
      <c r="X374" s="226"/>
      <c r="Y374" s="226"/>
      <c r="Z374" s="226"/>
    </row>
    <row r="375" spans="1:26" ht="16.5" customHeight="1">
      <c r="A375" s="237"/>
      <c r="B375" s="237"/>
      <c r="C375" s="237"/>
      <c r="D375" s="226"/>
      <c r="E375" s="226"/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26"/>
      <c r="S375" s="226"/>
      <c r="T375" s="226"/>
      <c r="U375" s="226"/>
      <c r="V375" s="226"/>
      <c r="W375" s="226"/>
      <c r="X375" s="226"/>
      <c r="Y375" s="226"/>
      <c r="Z375" s="226"/>
    </row>
    <row r="376" spans="1:26" ht="16.5" customHeight="1">
      <c r="A376" s="237"/>
      <c r="B376" s="237"/>
      <c r="C376" s="237"/>
      <c r="D376" s="226"/>
      <c r="E376" s="226"/>
      <c r="F376" s="226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226"/>
      <c r="S376" s="226"/>
      <c r="T376" s="226"/>
      <c r="U376" s="226"/>
      <c r="V376" s="226"/>
      <c r="W376" s="226"/>
      <c r="X376" s="226"/>
      <c r="Y376" s="226"/>
      <c r="Z376" s="226"/>
    </row>
    <row r="377" spans="1:26" ht="16.5" customHeight="1">
      <c r="A377" s="237"/>
      <c r="B377" s="237"/>
      <c r="C377" s="237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</row>
    <row r="378" spans="1:26" ht="16.5" customHeight="1">
      <c r="A378" s="237"/>
      <c r="B378" s="237"/>
      <c r="C378" s="237"/>
      <c r="D378" s="226"/>
      <c r="E378" s="226"/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26"/>
      <c r="T378" s="226"/>
      <c r="U378" s="226"/>
      <c r="V378" s="226"/>
      <c r="W378" s="226"/>
      <c r="X378" s="226"/>
      <c r="Y378" s="226"/>
      <c r="Z378" s="226"/>
    </row>
    <row r="379" spans="1:26" ht="16.5" customHeight="1">
      <c r="A379" s="237"/>
      <c r="B379" s="237"/>
      <c r="C379" s="237"/>
      <c r="D379" s="226"/>
      <c r="E379" s="226"/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  <c r="T379" s="226"/>
      <c r="U379" s="226"/>
      <c r="V379" s="226"/>
      <c r="W379" s="226"/>
      <c r="X379" s="226"/>
      <c r="Y379" s="226"/>
      <c r="Z379" s="226"/>
    </row>
    <row r="380" spans="1:26" ht="16.5" customHeight="1">
      <c r="A380" s="237"/>
      <c r="B380" s="237"/>
      <c r="C380" s="237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6"/>
      <c r="U380" s="226"/>
      <c r="V380" s="226"/>
      <c r="W380" s="226"/>
      <c r="X380" s="226"/>
      <c r="Y380" s="226"/>
      <c r="Z380" s="226"/>
    </row>
    <row r="381" spans="1:26" ht="16.5" customHeight="1">
      <c r="A381" s="237"/>
      <c r="B381" s="237"/>
      <c r="C381" s="237"/>
      <c r="D381" s="226"/>
      <c r="E381" s="226"/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  <c r="T381" s="226"/>
      <c r="U381" s="226"/>
      <c r="V381" s="226"/>
      <c r="W381" s="226"/>
      <c r="X381" s="226"/>
      <c r="Y381" s="226"/>
      <c r="Z381" s="226"/>
    </row>
    <row r="382" spans="1:26" ht="16.5" customHeight="1">
      <c r="A382" s="237"/>
      <c r="B382" s="237"/>
      <c r="C382" s="237"/>
      <c r="D382" s="226"/>
      <c r="E382" s="226"/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  <c r="T382" s="226"/>
      <c r="U382" s="226"/>
      <c r="V382" s="226"/>
      <c r="W382" s="226"/>
      <c r="X382" s="226"/>
      <c r="Y382" s="226"/>
      <c r="Z382" s="226"/>
    </row>
    <row r="383" spans="1:26" ht="16.5" customHeight="1">
      <c r="A383" s="237"/>
      <c r="B383" s="237"/>
      <c r="C383" s="237"/>
      <c r="D383" s="226"/>
      <c r="E383" s="226"/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  <c r="T383" s="226"/>
      <c r="U383" s="226"/>
      <c r="V383" s="226"/>
      <c r="W383" s="226"/>
      <c r="X383" s="226"/>
      <c r="Y383" s="226"/>
      <c r="Z383" s="226"/>
    </row>
    <row r="384" spans="1:26" ht="16.5" customHeight="1">
      <c r="A384" s="237"/>
      <c r="B384" s="237"/>
      <c r="C384" s="237"/>
      <c r="D384" s="226"/>
      <c r="E384" s="226"/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  <c r="T384" s="226"/>
      <c r="U384" s="226"/>
      <c r="V384" s="226"/>
      <c r="W384" s="226"/>
      <c r="X384" s="226"/>
      <c r="Y384" s="226"/>
      <c r="Z384" s="226"/>
    </row>
    <row r="385" spans="1:26" ht="16.5" customHeight="1">
      <c r="A385" s="237"/>
      <c r="B385" s="237"/>
      <c r="C385" s="237"/>
      <c r="D385" s="226"/>
      <c r="E385" s="226"/>
      <c r="F385" s="226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226"/>
      <c r="S385" s="226"/>
      <c r="T385" s="226"/>
      <c r="U385" s="226"/>
      <c r="V385" s="226"/>
      <c r="W385" s="226"/>
      <c r="X385" s="226"/>
      <c r="Y385" s="226"/>
      <c r="Z385" s="226"/>
    </row>
    <row r="386" spans="1:26" ht="16.5" customHeight="1">
      <c r="A386" s="237"/>
      <c r="B386" s="237"/>
      <c r="C386" s="237"/>
      <c r="D386" s="226"/>
      <c r="E386" s="226"/>
      <c r="F386" s="226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226"/>
      <c r="S386" s="226"/>
      <c r="T386" s="226"/>
      <c r="U386" s="226"/>
      <c r="V386" s="226"/>
      <c r="W386" s="226"/>
      <c r="X386" s="226"/>
      <c r="Y386" s="226"/>
      <c r="Z386" s="226"/>
    </row>
    <row r="387" spans="1:26" ht="16.5" customHeight="1">
      <c r="A387" s="237"/>
      <c r="B387" s="237"/>
      <c r="C387" s="237"/>
      <c r="D387" s="226"/>
      <c r="E387" s="226"/>
      <c r="F387" s="226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226"/>
      <c r="S387" s="226"/>
      <c r="T387" s="226"/>
      <c r="U387" s="226"/>
      <c r="V387" s="226"/>
      <c r="W387" s="226"/>
      <c r="X387" s="226"/>
      <c r="Y387" s="226"/>
      <c r="Z387" s="226"/>
    </row>
    <row r="388" spans="1:26" ht="16.5" customHeight="1">
      <c r="A388" s="237"/>
      <c r="B388" s="237"/>
      <c r="C388" s="237"/>
      <c r="D388" s="226"/>
      <c r="E388" s="226"/>
      <c r="F388" s="226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226"/>
      <c r="S388" s="226"/>
      <c r="T388" s="226"/>
      <c r="U388" s="226"/>
      <c r="V388" s="226"/>
      <c r="W388" s="226"/>
      <c r="X388" s="226"/>
      <c r="Y388" s="226"/>
      <c r="Z388" s="226"/>
    </row>
    <row r="389" spans="1:26" ht="16.5" customHeight="1">
      <c r="A389" s="237"/>
      <c r="B389" s="237"/>
      <c r="C389" s="237"/>
      <c r="D389" s="226"/>
      <c r="E389" s="226"/>
      <c r="F389" s="226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226"/>
      <c r="S389" s="226"/>
      <c r="T389" s="226"/>
      <c r="U389" s="226"/>
      <c r="V389" s="226"/>
      <c r="W389" s="226"/>
      <c r="X389" s="226"/>
      <c r="Y389" s="226"/>
      <c r="Z389" s="226"/>
    </row>
    <row r="390" spans="1:26" ht="16.5" customHeight="1">
      <c r="A390" s="237"/>
      <c r="B390" s="237"/>
      <c r="C390" s="237"/>
      <c r="D390" s="226"/>
      <c r="E390" s="226"/>
      <c r="F390" s="226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226"/>
      <c r="S390" s="226"/>
      <c r="T390" s="226"/>
      <c r="U390" s="226"/>
      <c r="V390" s="226"/>
      <c r="W390" s="226"/>
      <c r="X390" s="226"/>
      <c r="Y390" s="226"/>
      <c r="Z390" s="226"/>
    </row>
    <row r="391" spans="1:26" ht="16.5" customHeight="1">
      <c r="A391" s="237"/>
      <c r="B391" s="237"/>
      <c r="C391" s="237"/>
      <c r="D391" s="226"/>
      <c r="E391" s="226"/>
      <c r="F391" s="226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226"/>
      <c r="S391" s="226"/>
      <c r="T391" s="226"/>
      <c r="U391" s="226"/>
      <c r="V391" s="226"/>
      <c r="W391" s="226"/>
      <c r="X391" s="226"/>
      <c r="Y391" s="226"/>
      <c r="Z391" s="226"/>
    </row>
    <row r="392" spans="1:26" ht="16.5" customHeight="1">
      <c r="A392" s="237"/>
      <c r="B392" s="237"/>
      <c r="C392" s="237"/>
      <c r="D392" s="226"/>
      <c r="E392" s="226"/>
      <c r="F392" s="226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26"/>
      <c r="S392" s="226"/>
      <c r="T392" s="226"/>
      <c r="U392" s="226"/>
      <c r="V392" s="226"/>
      <c r="W392" s="226"/>
      <c r="X392" s="226"/>
      <c r="Y392" s="226"/>
      <c r="Z392" s="226"/>
    </row>
    <row r="393" spans="1:26" ht="16.5" customHeight="1">
      <c r="A393" s="237"/>
      <c r="B393" s="237"/>
      <c r="C393" s="237"/>
      <c r="D393" s="226"/>
      <c r="E393" s="226"/>
      <c r="F393" s="226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226"/>
      <c r="S393" s="226"/>
      <c r="T393" s="226"/>
      <c r="U393" s="226"/>
      <c r="V393" s="226"/>
      <c r="W393" s="226"/>
      <c r="X393" s="226"/>
      <c r="Y393" s="226"/>
      <c r="Z393" s="226"/>
    </row>
    <row r="394" spans="1:26" ht="16.5" customHeight="1">
      <c r="A394" s="237"/>
      <c r="B394" s="237"/>
      <c r="C394" s="237"/>
      <c r="D394" s="226"/>
      <c r="E394" s="226"/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  <c r="T394" s="226"/>
      <c r="U394" s="226"/>
      <c r="V394" s="226"/>
      <c r="W394" s="226"/>
      <c r="X394" s="226"/>
      <c r="Y394" s="226"/>
      <c r="Z394" s="226"/>
    </row>
    <row r="395" spans="1:26" ht="16.5" customHeight="1">
      <c r="A395" s="237"/>
      <c r="B395" s="237"/>
      <c r="C395" s="237"/>
      <c r="D395" s="226"/>
      <c r="E395" s="226"/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  <c r="T395" s="226"/>
      <c r="U395" s="226"/>
      <c r="V395" s="226"/>
      <c r="W395" s="226"/>
      <c r="X395" s="226"/>
      <c r="Y395" s="226"/>
      <c r="Z395" s="226"/>
    </row>
    <row r="396" spans="1:26" ht="16.5" customHeight="1">
      <c r="A396" s="237"/>
      <c r="B396" s="237"/>
      <c r="C396" s="237"/>
      <c r="D396" s="226"/>
      <c r="E396" s="226"/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  <c r="T396" s="226"/>
      <c r="U396" s="226"/>
      <c r="V396" s="226"/>
      <c r="W396" s="226"/>
      <c r="X396" s="226"/>
      <c r="Y396" s="226"/>
      <c r="Z396" s="226"/>
    </row>
    <row r="397" spans="1:26" ht="16.5" customHeight="1">
      <c r="A397" s="237"/>
      <c r="B397" s="237"/>
      <c r="C397" s="237"/>
      <c r="D397" s="226"/>
      <c r="E397" s="226"/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  <c r="T397" s="226"/>
      <c r="U397" s="226"/>
      <c r="V397" s="226"/>
      <c r="W397" s="226"/>
      <c r="X397" s="226"/>
      <c r="Y397" s="226"/>
      <c r="Z397" s="226"/>
    </row>
    <row r="398" spans="1:26" ht="16.5" customHeight="1">
      <c r="A398" s="237"/>
      <c r="B398" s="237"/>
      <c r="C398" s="237"/>
      <c r="D398" s="226"/>
      <c r="E398" s="226"/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  <c r="T398" s="226"/>
      <c r="U398" s="226"/>
      <c r="V398" s="226"/>
      <c r="W398" s="226"/>
      <c r="X398" s="226"/>
      <c r="Y398" s="226"/>
      <c r="Z398" s="226"/>
    </row>
    <row r="399" spans="1:26" ht="16.5" customHeight="1">
      <c r="A399" s="237"/>
      <c r="B399" s="237"/>
      <c r="C399" s="237"/>
      <c r="D399" s="226"/>
      <c r="E399" s="226"/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  <c r="T399" s="226"/>
      <c r="U399" s="226"/>
      <c r="V399" s="226"/>
      <c r="W399" s="226"/>
      <c r="X399" s="226"/>
      <c r="Y399" s="226"/>
      <c r="Z399" s="226"/>
    </row>
    <row r="400" spans="1:26" ht="16.5" customHeight="1">
      <c r="A400" s="237"/>
      <c r="B400" s="237"/>
      <c r="C400" s="237"/>
      <c r="D400" s="226"/>
      <c r="E400" s="226"/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26"/>
      <c r="S400" s="226"/>
      <c r="T400" s="226"/>
      <c r="U400" s="226"/>
      <c r="V400" s="226"/>
      <c r="W400" s="226"/>
      <c r="X400" s="226"/>
      <c r="Y400" s="226"/>
      <c r="Z400" s="226"/>
    </row>
    <row r="401" spans="1:26" ht="16.5" customHeight="1">
      <c r="A401" s="237"/>
      <c r="B401" s="237"/>
      <c r="C401" s="237"/>
      <c r="D401" s="226"/>
      <c r="E401" s="226"/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26"/>
      <c r="S401" s="226"/>
      <c r="T401" s="226"/>
      <c r="U401" s="226"/>
      <c r="V401" s="226"/>
      <c r="W401" s="226"/>
      <c r="X401" s="226"/>
      <c r="Y401" s="226"/>
      <c r="Z401" s="226"/>
    </row>
    <row r="402" spans="1:26" ht="16.5" customHeight="1">
      <c r="A402" s="237"/>
      <c r="B402" s="237"/>
      <c r="C402" s="237"/>
      <c r="D402" s="226"/>
      <c r="E402" s="226"/>
      <c r="F402" s="226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226"/>
      <c r="S402" s="226"/>
      <c r="T402" s="226"/>
      <c r="U402" s="226"/>
      <c r="V402" s="226"/>
      <c r="W402" s="226"/>
      <c r="X402" s="226"/>
      <c r="Y402" s="226"/>
      <c r="Z402" s="226"/>
    </row>
    <row r="403" spans="1:26" ht="16.5" customHeight="1">
      <c r="A403" s="237"/>
      <c r="B403" s="237"/>
      <c r="C403" s="237"/>
      <c r="D403" s="226"/>
      <c r="E403" s="226"/>
      <c r="F403" s="226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226"/>
      <c r="S403" s="226"/>
      <c r="T403" s="226"/>
      <c r="U403" s="226"/>
      <c r="V403" s="226"/>
      <c r="W403" s="226"/>
      <c r="X403" s="226"/>
      <c r="Y403" s="226"/>
      <c r="Z403" s="226"/>
    </row>
    <row r="404" spans="1:26" ht="16.5" customHeight="1">
      <c r="A404" s="237"/>
      <c r="B404" s="237"/>
      <c r="C404" s="237"/>
      <c r="D404" s="226"/>
      <c r="E404" s="226"/>
      <c r="F404" s="226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226"/>
      <c r="S404" s="226"/>
      <c r="T404" s="226"/>
      <c r="U404" s="226"/>
      <c r="V404" s="226"/>
      <c r="W404" s="226"/>
      <c r="X404" s="226"/>
      <c r="Y404" s="226"/>
      <c r="Z404" s="226"/>
    </row>
    <row r="405" spans="1:26" ht="16.5" customHeight="1">
      <c r="A405" s="237"/>
      <c r="B405" s="237"/>
      <c r="C405" s="237"/>
      <c r="D405" s="226"/>
      <c r="E405" s="226"/>
      <c r="F405" s="226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226"/>
      <c r="S405" s="226"/>
      <c r="T405" s="226"/>
      <c r="U405" s="226"/>
      <c r="V405" s="226"/>
      <c r="W405" s="226"/>
      <c r="X405" s="226"/>
      <c r="Y405" s="226"/>
      <c r="Z405" s="226"/>
    </row>
    <row r="406" spans="1:26" ht="16.5" customHeight="1">
      <c r="A406" s="237"/>
      <c r="B406" s="237"/>
      <c r="C406" s="237"/>
      <c r="D406" s="226"/>
      <c r="E406" s="226"/>
      <c r="F406" s="226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226"/>
      <c r="S406" s="226"/>
      <c r="T406" s="226"/>
      <c r="U406" s="226"/>
      <c r="V406" s="226"/>
      <c r="W406" s="226"/>
      <c r="X406" s="226"/>
      <c r="Y406" s="226"/>
      <c r="Z406" s="226"/>
    </row>
    <row r="407" spans="1:26" ht="16.5" customHeight="1">
      <c r="A407" s="237"/>
      <c r="B407" s="237"/>
      <c r="C407" s="237"/>
      <c r="D407" s="226"/>
      <c r="E407" s="226"/>
      <c r="F407" s="226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226"/>
      <c r="S407" s="226"/>
      <c r="T407" s="226"/>
      <c r="U407" s="226"/>
      <c r="V407" s="226"/>
      <c r="W407" s="226"/>
      <c r="X407" s="226"/>
      <c r="Y407" s="226"/>
      <c r="Z407" s="226"/>
    </row>
    <row r="408" spans="1:26" ht="16.5" customHeight="1">
      <c r="A408" s="237"/>
      <c r="B408" s="237"/>
      <c r="C408" s="237"/>
      <c r="D408" s="226"/>
      <c r="E408" s="226"/>
      <c r="F408" s="226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26"/>
      <c r="S408" s="226"/>
      <c r="T408" s="226"/>
      <c r="U408" s="226"/>
      <c r="V408" s="226"/>
      <c r="W408" s="226"/>
      <c r="X408" s="226"/>
      <c r="Y408" s="226"/>
      <c r="Z408" s="226"/>
    </row>
    <row r="409" spans="1:26" ht="16.5" customHeight="1">
      <c r="A409" s="237"/>
      <c r="B409" s="237"/>
      <c r="C409" s="237"/>
      <c r="D409" s="226"/>
      <c r="E409" s="226"/>
      <c r="F409" s="226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226"/>
      <c r="S409" s="226"/>
      <c r="T409" s="226"/>
      <c r="U409" s="226"/>
      <c r="V409" s="226"/>
      <c r="W409" s="226"/>
      <c r="X409" s="226"/>
      <c r="Y409" s="226"/>
      <c r="Z409" s="226"/>
    </row>
    <row r="410" spans="1:26" ht="16.5" customHeight="1">
      <c r="A410" s="237"/>
      <c r="B410" s="237"/>
      <c r="C410" s="237"/>
      <c r="D410" s="226"/>
      <c r="E410" s="226"/>
      <c r="F410" s="226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226"/>
      <c r="S410" s="226"/>
      <c r="T410" s="226"/>
      <c r="U410" s="226"/>
      <c r="V410" s="226"/>
      <c r="W410" s="226"/>
      <c r="X410" s="226"/>
      <c r="Y410" s="226"/>
      <c r="Z410" s="226"/>
    </row>
    <row r="411" spans="1:26" ht="16.5" customHeight="1">
      <c r="A411" s="237"/>
      <c r="B411" s="237"/>
      <c r="C411" s="237"/>
      <c r="D411" s="226"/>
      <c r="E411" s="226"/>
      <c r="F411" s="226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226"/>
      <c r="S411" s="226"/>
      <c r="T411" s="226"/>
      <c r="U411" s="226"/>
      <c r="V411" s="226"/>
      <c r="W411" s="226"/>
      <c r="X411" s="226"/>
      <c r="Y411" s="226"/>
      <c r="Z411" s="226"/>
    </row>
    <row r="412" spans="1:26" ht="16.5" customHeight="1">
      <c r="A412" s="237"/>
      <c r="B412" s="237"/>
      <c r="C412" s="237"/>
      <c r="D412" s="226"/>
      <c r="E412" s="226"/>
      <c r="F412" s="226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226"/>
      <c r="S412" s="226"/>
      <c r="T412" s="226"/>
      <c r="U412" s="226"/>
      <c r="V412" s="226"/>
      <c r="W412" s="226"/>
      <c r="X412" s="226"/>
      <c r="Y412" s="226"/>
      <c r="Z412" s="226"/>
    </row>
    <row r="413" spans="1:26" ht="16.5" customHeight="1">
      <c r="A413" s="237"/>
      <c r="B413" s="237"/>
      <c r="C413" s="237"/>
      <c r="D413" s="226"/>
      <c r="E413" s="226"/>
      <c r="F413" s="226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226"/>
      <c r="S413" s="226"/>
      <c r="T413" s="226"/>
      <c r="U413" s="226"/>
      <c r="V413" s="226"/>
      <c r="W413" s="226"/>
      <c r="X413" s="226"/>
      <c r="Y413" s="226"/>
      <c r="Z413" s="226"/>
    </row>
    <row r="414" spans="1:26" ht="16.5" customHeight="1">
      <c r="A414" s="237"/>
      <c r="B414" s="237"/>
      <c r="C414" s="237"/>
      <c r="D414" s="226"/>
      <c r="E414" s="226"/>
      <c r="F414" s="226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226"/>
      <c r="S414" s="226"/>
      <c r="T414" s="226"/>
      <c r="U414" s="226"/>
      <c r="V414" s="226"/>
      <c r="W414" s="226"/>
      <c r="X414" s="226"/>
      <c r="Y414" s="226"/>
      <c r="Z414" s="226"/>
    </row>
    <row r="415" spans="1:26" ht="16.5" customHeight="1">
      <c r="A415" s="237"/>
      <c r="B415" s="237"/>
      <c r="C415" s="237"/>
      <c r="D415" s="226"/>
      <c r="E415" s="226"/>
      <c r="F415" s="226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226"/>
      <c r="S415" s="226"/>
      <c r="T415" s="226"/>
      <c r="U415" s="226"/>
      <c r="V415" s="226"/>
      <c r="W415" s="226"/>
      <c r="X415" s="226"/>
      <c r="Y415" s="226"/>
      <c r="Z415" s="226"/>
    </row>
    <row r="416" spans="1:26" ht="16.5" customHeight="1">
      <c r="A416" s="237"/>
      <c r="B416" s="237"/>
      <c r="C416" s="237"/>
      <c r="D416" s="226"/>
      <c r="E416" s="226"/>
      <c r="F416" s="226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226"/>
      <c r="S416" s="226"/>
      <c r="T416" s="226"/>
      <c r="U416" s="226"/>
      <c r="V416" s="226"/>
      <c r="W416" s="226"/>
      <c r="X416" s="226"/>
      <c r="Y416" s="226"/>
      <c r="Z416" s="226"/>
    </row>
    <row r="417" spans="1:26" ht="16.5" customHeight="1">
      <c r="A417" s="237"/>
      <c r="B417" s="237"/>
      <c r="C417" s="237"/>
      <c r="D417" s="226"/>
      <c r="E417" s="226"/>
      <c r="F417" s="226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26"/>
      <c r="S417" s="226"/>
      <c r="T417" s="226"/>
      <c r="U417" s="226"/>
      <c r="V417" s="226"/>
      <c r="W417" s="226"/>
      <c r="X417" s="226"/>
      <c r="Y417" s="226"/>
      <c r="Z417" s="226"/>
    </row>
    <row r="418" spans="1:26" ht="16.5" customHeight="1">
      <c r="A418" s="237"/>
      <c r="B418" s="237"/>
      <c r="C418" s="237"/>
      <c r="D418" s="226"/>
      <c r="E418" s="226"/>
      <c r="F418" s="226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226"/>
      <c r="S418" s="226"/>
      <c r="T418" s="226"/>
      <c r="U418" s="226"/>
      <c r="V418" s="226"/>
      <c r="W418" s="226"/>
      <c r="X418" s="226"/>
      <c r="Y418" s="226"/>
      <c r="Z418" s="226"/>
    </row>
    <row r="419" spans="1:26" ht="16.5" customHeight="1">
      <c r="A419" s="237"/>
      <c r="B419" s="237"/>
      <c r="C419" s="237"/>
      <c r="D419" s="226"/>
      <c r="E419" s="226"/>
      <c r="F419" s="226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226"/>
      <c r="S419" s="226"/>
      <c r="T419" s="226"/>
      <c r="U419" s="226"/>
      <c r="V419" s="226"/>
      <c r="W419" s="226"/>
      <c r="X419" s="226"/>
      <c r="Y419" s="226"/>
      <c r="Z419" s="226"/>
    </row>
    <row r="420" spans="1:26" ht="16.5" customHeight="1">
      <c r="A420" s="237"/>
      <c r="B420" s="237"/>
      <c r="C420" s="237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226"/>
      <c r="S420" s="226"/>
      <c r="T420" s="226"/>
      <c r="U420" s="226"/>
      <c r="V420" s="226"/>
      <c r="W420" s="226"/>
      <c r="X420" s="226"/>
      <c r="Y420" s="226"/>
      <c r="Z420" s="226"/>
    </row>
    <row r="421" spans="1:26" ht="16.5" customHeight="1">
      <c r="A421" s="237"/>
      <c r="B421" s="237"/>
      <c r="C421" s="237"/>
      <c r="D421" s="226"/>
      <c r="E421" s="226"/>
      <c r="F421" s="226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226"/>
      <c r="S421" s="226"/>
      <c r="T421" s="226"/>
      <c r="U421" s="226"/>
      <c r="V421" s="226"/>
      <c r="W421" s="226"/>
      <c r="X421" s="226"/>
      <c r="Y421" s="226"/>
      <c r="Z421" s="226"/>
    </row>
    <row r="422" spans="1:26" ht="16.5" customHeight="1">
      <c r="A422" s="237"/>
      <c r="B422" s="237"/>
      <c r="C422" s="237"/>
      <c r="D422" s="226"/>
      <c r="E422" s="226"/>
      <c r="F422" s="226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226"/>
      <c r="S422" s="226"/>
      <c r="T422" s="226"/>
      <c r="U422" s="226"/>
      <c r="V422" s="226"/>
      <c r="W422" s="226"/>
      <c r="X422" s="226"/>
      <c r="Y422" s="226"/>
      <c r="Z422" s="226"/>
    </row>
    <row r="423" spans="1:26" ht="16.5" customHeight="1">
      <c r="A423" s="237"/>
      <c r="B423" s="237"/>
      <c r="C423" s="237"/>
      <c r="D423" s="226"/>
      <c r="E423" s="226"/>
      <c r="F423" s="226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226"/>
      <c r="S423" s="226"/>
      <c r="T423" s="226"/>
      <c r="U423" s="226"/>
      <c r="V423" s="226"/>
      <c r="W423" s="226"/>
      <c r="X423" s="226"/>
      <c r="Y423" s="226"/>
      <c r="Z423" s="226"/>
    </row>
    <row r="424" spans="1:26" ht="16.5" customHeight="1">
      <c r="A424" s="237"/>
      <c r="B424" s="237"/>
      <c r="C424" s="237"/>
      <c r="D424" s="226"/>
      <c r="E424" s="226"/>
      <c r="F424" s="226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226"/>
      <c r="S424" s="226"/>
      <c r="T424" s="226"/>
      <c r="U424" s="226"/>
      <c r="V424" s="226"/>
      <c r="W424" s="226"/>
      <c r="X424" s="226"/>
      <c r="Y424" s="226"/>
      <c r="Z424" s="226"/>
    </row>
    <row r="425" spans="1:26" ht="16.5" customHeight="1">
      <c r="A425" s="237"/>
      <c r="B425" s="237"/>
      <c r="C425" s="237"/>
      <c r="D425" s="226"/>
      <c r="E425" s="226"/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26"/>
      <c r="S425" s="226"/>
      <c r="T425" s="226"/>
      <c r="U425" s="226"/>
      <c r="V425" s="226"/>
      <c r="W425" s="226"/>
      <c r="X425" s="226"/>
      <c r="Y425" s="226"/>
      <c r="Z425" s="226"/>
    </row>
    <row r="426" spans="1:26" ht="16.5" customHeight="1">
      <c r="A426" s="237"/>
      <c r="B426" s="237"/>
      <c r="C426" s="237"/>
      <c r="D426" s="226"/>
      <c r="E426" s="226"/>
      <c r="F426" s="226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26"/>
      <c r="S426" s="226"/>
      <c r="T426" s="226"/>
      <c r="U426" s="226"/>
      <c r="V426" s="226"/>
      <c r="W426" s="226"/>
      <c r="X426" s="226"/>
      <c r="Y426" s="226"/>
      <c r="Z426" s="226"/>
    </row>
    <row r="427" spans="1:26" ht="16.5" customHeight="1">
      <c r="A427" s="237"/>
      <c r="B427" s="237"/>
      <c r="C427" s="237"/>
      <c r="D427" s="226"/>
      <c r="E427" s="226"/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6"/>
      <c r="V427" s="226"/>
      <c r="W427" s="226"/>
      <c r="X427" s="226"/>
      <c r="Y427" s="226"/>
      <c r="Z427" s="226"/>
    </row>
    <row r="428" spans="1:26" ht="16.5" customHeight="1">
      <c r="A428" s="237"/>
      <c r="B428" s="237"/>
      <c r="C428" s="237"/>
      <c r="D428" s="226"/>
      <c r="E428" s="226"/>
      <c r="F428" s="226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226"/>
      <c r="S428" s="226"/>
      <c r="T428" s="226"/>
      <c r="U428" s="226"/>
      <c r="V428" s="226"/>
      <c r="W428" s="226"/>
      <c r="X428" s="226"/>
      <c r="Y428" s="226"/>
      <c r="Z428" s="226"/>
    </row>
    <row r="429" spans="1:26" ht="16.5" customHeight="1">
      <c r="A429" s="237"/>
      <c r="B429" s="237"/>
      <c r="C429" s="237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</row>
    <row r="430" spans="1:26" ht="16.5" customHeight="1">
      <c r="A430" s="237"/>
      <c r="B430" s="237"/>
      <c r="C430" s="237"/>
      <c r="D430" s="226"/>
      <c r="E430" s="226"/>
      <c r="F430" s="226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226"/>
      <c r="S430" s="226"/>
      <c r="T430" s="226"/>
      <c r="U430" s="226"/>
      <c r="V430" s="226"/>
      <c r="W430" s="226"/>
      <c r="X430" s="226"/>
      <c r="Y430" s="226"/>
      <c r="Z430" s="226"/>
    </row>
    <row r="431" spans="1:26" ht="16.5" customHeight="1">
      <c r="A431" s="237"/>
      <c r="B431" s="237"/>
      <c r="C431" s="237"/>
      <c r="D431" s="226"/>
      <c r="E431" s="226"/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26"/>
      <c r="T431" s="226"/>
      <c r="U431" s="226"/>
      <c r="V431" s="226"/>
      <c r="W431" s="226"/>
      <c r="X431" s="226"/>
      <c r="Y431" s="226"/>
      <c r="Z431" s="226"/>
    </row>
    <row r="432" spans="1:26" ht="16.5" customHeight="1">
      <c r="A432" s="237"/>
      <c r="B432" s="237"/>
      <c r="C432" s="237"/>
      <c r="D432" s="226"/>
      <c r="E432" s="226"/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6"/>
      <c r="S432" s="226"/>
      <c r="T432" s="226"/>
      <c r="U432" s="226"/>
      <c r="V432" s="226"/>
      <c r="W432" s="226"/>
      <c r="X432" s="226"/>
      <c r="Y432" s="226"/>
      <c r="Z432" s="226"/>
    </row>
    <row r="433" spans="1:26" ht="16.5" customHeight="1">
      <c r="A433" s="237"/>
      <c r="B433" s="237"/>
      <c r="C433" s="237"/>
      <c r="D433" s="226"/>
      <c r="E433" s="226"/>
      <c r="F433" s="226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  <c r="T433" s="226"/>
      <c r="U433" s="226"/>
      <c r="V433" s="226"/>
      <c r="W433" s="226"/>
      <c r="X433" s="226"/>
      <c r="Y433" s="226"/>
      <c r="Z433" s="226"/>
    </row>
    <row r="434" spans="1:26" ht="16.5" customHeight="1">
      <c r="A434" s="237"/>
      <c r="B434" s="237"/>
      <c r="C434" s="237"/>
      <c r="D434" s="226"/>
      <c r="E434" s="226"/>
      <c r="F434" s="226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  <c r="T434" s="226"/>
      <c r="U434" s="226"/>
      <c r="V434" s="226"/>
      <c r="W434" s="226"/>
      <c r="X434" s="226"/>
      <c r="Y434" s="226"/>
      <c r="Z434" s="226"/>
    </row>
    <row r="435" spans="1:26" ht="16.5" customHeight="1">
      <c r="A435" s="237"/>
      <c r="B435" s="237"/>
      <c r="C435" s="237"/>
      <c r="D435" s="226"/>
      <c r="E435" s="226"/>
      <c r="F435" s="226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  <c r="T435" s="226"/>
      <c r="U435" s="226"/>
      <c r="V435" s="226"/>
      <c r="W435" s="226"/>
      <c r="X435" s="226"/>
      <c r="Y435" s="226"/>
      <c r="Z435" s="226"/>
    </row>
    <row r="436" spans="1:26" ht="16.5" customHeight="1">
      <c r="A436" s="237"/>
      <c r="B436" s="237"/>
      <c r="C436" s="237"/>
      <c r="D436" s="226"/>
      <c r="E436" s="226"/>
      <c r="F436" s="226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226"/>
      <c r="S436" s="226"/>
      <c r="T436" s="226"/>
      <c r="U436" s="226"/>
      <c r="V436" s="226"/>
      <c r="W436" s="226"/>
      <c r="X436" s="226"/>
      <c r="Y436" s="226"/>
      <c r="Z436" s="226"/>
    </row>
    <row r="437" spans="1:26" ht="16.5" customHeight="1">
      <c r="A437" s="237"/>
      <c r="B437" s="237"/>
      <c r="C437" s="237"/>
      <c r="D437" s="226"/>
      <c r="E437" s="226"/>
      <c r="F437" s="226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226"/>
      <c r="S437" s="226"/>
      <c r="T437" s="226"/>
      <c r="U437" s="226"/>
      <c r="V437" s="226"/>
      <c r="W437" s="226"/>
      <c r="X437" s="226"/>
      <c r="Y437" s="226"/>
      <c r="Z437" s="226"/>
    </row>
    <row r="438" spans="1:26" ht="16.5" customHeight="1">
      <c r="A438" s="237"/>
      <c r="B438" s="237"/>
      <c r="C438" s="237"/>
      <c r="D438" s="226"/>
      <c r="E438" s="226"/>
      <c r="F438" s="226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226"/>
      <c r="S438" s="226"/>
      <c r="T438" s="226"/>
      <c r="U438" s="226"/>
      <c r="V438" s="226"/>
      <c r="W438" s="226"/>
      <c r="X438" s="226"/>
      <c r="Y438" s="226"/>
      <c r="Z438" s="226"/>
    </row>
    <row r="439" spans="1:26" ht="16.5" customHeight="1">
      <c r="A439" s="237"/>
      <c r="B439" s="237"/>
      <c r="C439" s="237"/>
      <c r="D439" s="226"/>
      <c r="E439" s="226"/>
      <c r="F439" s="226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226"/>
      <c r="S439" s="226"/>
      <c r="T439" s="226"/>
      <c r="U439" s="226"/>
      <c r="V439" s="226"/>
      <c r="W439" s="226"/>
      <c r="X439" s="226"/>
      <c r="Y439" s="226"/>
      <c r="Z439" s="226"/>
    </row>
    <row r="440" spans="1:26" ht="16.5" customHeight="1">
      <c r="A440" s="237"/>
      <c r="B440" s="237"/>
      <c r="C440" s="237"/>
      <c r="D440" s="226"/>
      <c r="E440" s="226"/>
      <c r="F440" s="226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  <c r="Z440" s="226"/>
    </row>
    <row r="441" spans="1:26" ht="16.5" customHeight="1">
      <c r="A441" s="237"/>
      <c r="B441" s="237"/>
      <c r="C441" s="237"/>
      <c r="D441" s="226"/>
      <c r="E441" s="226"/>
      <c r="F441" s="226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226"/>
      <c r="S441" s="226"/>
      <c r="T441" s="226"/>
      <c r="U441" s="226"/>
      <c r="V441" s="226"/>
      <c r="W441" s="226"/>
      <c r="X441" s="226"/>
      <c r="Y441" s="226"/>
      <c r="Z441" s="226"/>
    </row>
    <row r="442" spans="1:26" ht="16.5" customHeight="1">
      <c r="A442" s="237"/>
      <c r="B442" s="237"/>
      <c r="C442" s="237"/>
      <c r="D442" s="226"/>
      <c r="E442" s="226"/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6"/>
      <c r="S442" s="226"/>
      <c r="T442" s="226"/>
      <c r="U442" s="226"/>
      <c r="V442" s="226"/>
      <c r="W442" s="226"/>
      <c r="X442" s="226"/>
      <c r="Y442" s="226"/>
      <c r="Z442" s="226"/>
    </row>
    <row r="443" spans="1:26" ht="16.5" customHeight="1">
      <c r="A443" s="237"/>
      <c r="B443" s="237"/>
      <c r="C443" s="237"/>
      <c r="D443" s="226"/>
      <c r="E443" s="226"/>
      <c r="F443" s="226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26"/>
      <c r="S443" s="226"/>
      <c r="T443" s="226"/>
      <c r="U443" s="226"/>
      <c r="V443" s="226"/>
      <c r="W443" s="226"/>
      <c r="X443" s="226"/>
      <c r="Y443" s="226"/>
      <c r="Z443" s="226"/>
    </row>
    <row r="444" spans="1:26" ht="16.5" customHeight="1">
      <c r="A444" s="237"/>
      <c r="B444" s="237"/>
      <c r="C444" s="237"/>
      <c r="D444" s="226"/>
      <c r="E444" s="226"/>
      <c r="F444" s="226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226"/>
      <c r="S444" s="226"/>
      <c r="T444" s="226"/>
      <c r="U444" s="226"/>
      <c r="V444" s="226"/>
      <c r="W444" s="226"/>
      <c r="X444" s="226"/>
      <c r="Y444" s="226"/>
      <c r="Z444" s="226"/>
    </row>
    <row r="445" spans="1:26" ht="16.5" customHeight="1">
      <c r="A445" s="237"/>
      <c r="B445" s="237"/>
      <c r="C445" s="237"/>
      <c r="D445" s="226"/>
      <c r="E445" s="226"/>
      <c r="F445" s="226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  <c r="T445" s="226"/>
      <c r="U445" s="226"/>
      <c r="V445" s="226"/>
      <c r="W445" s="226"/>
      <c r="X445" s="226"/>
      <c r="Y445" s="226"/>
      <c r="Z445" s="226"/>
    </row>
    <row r="446" spans="1:26" ht="16.5" customHeight="1">
      <c r="A446" s="237"/>
      <c r="B446" s="237"/>
      <c r="C446" s="237"/>
      <c r="D446" s="226"/>
      <c r="E446" s="226"/>
      <c r="F446" s="226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  <c r="T446" s="226"/>
      <c r="U446" s="226"/>
      <c r="V446" s="226"/>
      <c r="W446" s="226"/>
      <c r="X446" s="226"/>
      <c r="Y446" s="226"/>
      <c r="Z446" s="226"/>
    </row>
    <row r="447" spans="1:26" ht="16.5" customHeight="1">
      <c r="A447" s="237"/>
      <c r="B447" s="237"/>
      <c r="C447" s="237"/>
      <c r="D447" s="226"/>
      <c r="E447" s="226"/>
      <c r="F447" s="226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  <c r="T447" s="226"/>
      <c r="U447" s="226"/>
      <c r="V447" s="226"/>
      <c r="W447" s="226"/>
      <c r="X447" s="226"/>
      <c r="Y447" s="226"/>
      <c r="Z447" s="226"/>
    </row>
    <row r="448" spans="1:26" ht="16.5" customHeight="1">
      <c r="A448" s="237"/>
      <c r="B448" s="237"/>
      <c r="C448" s="237"/>
      <c r="D448" s="226"/>
      <c r="E448" s="226"/>
      <c r="F448" s="226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  <c r="T448" s="226"/>
      <c r="U448" s="226"/>
      <c r="V448" s="226"/>
      <c r="W448" s="226"/>
      <c r="X448" s="226"/>
      <c r="Y448" s="226"/>
      <c r="Z448" s="226"/>
    </row>
    <row r="449" spans="1:26" ht="16.5" customHeight="1">
      <c r="A449" s="237"/>
      <c r="B449" s="237"/>
      <c r="C449" s="237"/>
      <c r="D449" s="226"/>
      <c r="E449" s="226"/>
      <c r="F449" s="226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  <c r="Z449" s="226"/>
    </row>
    <row r="450" spans="1:26" ht="16.5" customHeight="1">
      <c r="A450" s="237"/>
      <c r="B450" s="237"/>
      <c r="C450" s="237"/>
      <c r="D450" s="226"/>
      <c r="E450" s="226"/>
      <c r="F450" s="226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  <c r="T450" s="226"/>
      <c r="U450" s="226"/>
      <c r="V450" s="226"/>
      <c r="W450" s="226"/>
      <c r="X450" s="226"/>
      <c r="Y450" s="226"/>
      <c r="Z450" s="226"/>
    </row>
    <row r="451" spans="1:26" ht="16.5" customHeight="1">
      <c r="A451" s="237"/>
      <c r="B451" s="237"/>
      <c r="C451" s="237"/>
      <c r="D451" s="226"/>
      <c r="E451" s="226"/>
      <c r="F451" s="226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  <c r="T451" s="226"/>
      <c r="U451" s="226"/>
      <c r="V451" s="226"/>
      <c r="W451" s="226"/>
      <c r="X451" s="226"/>
      <c r="Y451" s="226"/>
      <c r="Z451" s="226"/>
    </row>
    <row r="452" spans="1:26" ht="16.5" customHeight="1">
      <c r="A452" s="237"/>
      <c r="B452" s="237"/>
      <c r="C452" s="237"/>
      <c r="D452" s="226"/>
      <c r="E452" s="226"/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  <c r="T452" s="226"/>
      <c r="U452" s="226"/>
      <c r="V452" s="226"/>
      <c r="W452" s="226"/>
      <c r="X452" s="226"/>
      <c r="Y452" s="226"/>
      <c r="Z452" s="226"/>
    </row>
    <row r="453" spans="1:26" ht="16.5" customHeight="1">
      <c r="A453" s="237"/>
      <c r="B453" s="237"/>
      <c r="C453" s="237"/>
      <c r="D453" s="226"/>
      <c r="E453" s="226"/>
      <c r="F453" s="226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226"/>
      <c r="S453" s="226"/>
      <c r="T453" s="226"/>
      <c r="U453" s="226"/>
      <c r="V453" s="226"/>
      <c r="W453" s="226"/>
      <c r="X453" s="226"/>
      <c r="Y453" s="226"/>
      <c r="Z453" s="226"/>
    </row>
    <row r="454" spans="1:26" ht="16.5" customHeight="1">
      <c r="A454" s="237"/>
      <c r="B454" s="237"/>
      <c r="C454" s="237"/>
      <c r="D454" s="226"/>
      <c r="E454" s="226"/>
      <c r="F454" s="226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226"/>
      <c r="S454" s="226"/>
      <c r="T454" s="226"/>
      <c r="U454" s="226"/>
      <c r="V454" s="226"/>
      <c r="W454" s="226"/>
      <c r="X454" s="226"/>
      <c r="Y454" s="226"/>
      <c r="Z454" s="226"/>
    </row>
    <row r="455" spans="1:26" ht="16.5" customHeight="1">
      <c r="A455" s="237"/>
      <c r="B455" s="237"/>
      <c r="C455" s="237"/>
      <c r="D455" s="226"/>
      <c r="E455" s="226"/>
      <c r="F455" s="226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226"/>
      <c r="S455" s="226"/>
      <c r="T455" s="226"/>
      <c r="U455" s="226"/>
      <c r="V455" s="226"/>
      <c r="W455" s="226"/>
      <c r="X455" s="226"/>
      <c r="Y455" s="226"/>
      <c r="Z455" s="226"/>
    </row>
    <row r="456" spans="1:26" ht="16.5" customHeight="1">
      <c r="A456" s="237"/>
      <c r="B456" s="237"/>
      <c r="C456" s="237"/>
      <c r="D456" s="226"/>
      <c r="E456" s="226"/>
      <c r="F456" s="226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226"/>
      <c r="S456" s="226"/>
      <c r="T456" s="226"/>
      <c r="U456" s="226"/>
      <c r="V456" s="226"/>
      <c r="W456" s="226"/>
      <c r="X456" s="226"/>
      <c r="Y456" s="226"/>
      <c r="Z456" s="226"/>
    </row>
    <row r="457" spans="1:26" ht="16.5" customHeight="1">
      <c r="A457" s="237"/>
      <c r="B457" s="237"/>
      <c r="C457" s="237"/>
      <c r="D457" s="226"/>
      <c r="E457" s="226"/>
      <c r="F457" s="226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26"/>
      <c r="S457" s="226"/>
      <c r="T457" s="226"/>
      <c r="U457" s="226"/>
      <c r="V457" s="226"/>
      <c r="W457" s="226"/>
      <c r="X457" s="226"/>
      <c r="Y457" s="226"/>
      <c r="Z457" s="226"/>
    </row>
    <row r="458" spans="1:26" ht="16.5" customHeight="1">
      <c r="A458" s="237"/>
      <c r="B458" s="237"/>
      <c r="C458" s="237"/>
      <c r="D458" s="226"/>
      <c r="E458" s="226"/>
      <c r="F458" s="226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226"/>
      <c r="S458" s="226"/>
      <c r="T458" s="226"/>
      <c r="U458" s="226"/>
      <c r="V458" s="226"/>
      <c r="W458" s="226"/>
      <c r="X458" s="226"/>
      <c r="Y458" s="226"/>
      <c r="Z458" s="226"/>
    </row>
    <row r="459" spans="1:26" ht="16.5" customHeight="1">
      <c r="A459" s="237"/>
      <c r="B459" s="237"/>
      <c r="C459" s="237"/>
      <c r="D459" s="226"/>
      <c r="E459" s="226"/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/>
      <c r="S459" s="226"/>
      <c r="T459" s="226"/>
      <c r="U459" s="226"/>
      <c r="V459" s="226"/>
      <c r="W459" s="226"/>
      <c r="X459" s="226"/>
      <c r="Y459" s="226"/>
      <c r="Z459" s="226"/>
    </row>
    <row r="460" spans="1:26" ht="16.5" customHeight="1">
      <c r="A460" s="237"/>
      <c r="B460" s="237"/>
      <c r="C460" s="237"/>
      <c r="D460" s="226"/>
      <c r="E460" s="226"/>
      <c r="F460" s="226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26"/>
      <c r="S460" s="226"/>
      <c r="T460" s="226"/>
      <c r="U460" s="226"/>
      <c r="V460" s="226"/>
      <c r="W460" s="226"/>
      <c r="X460" s="226"/>
      <c r="Y460" s="226"/>
      <c r="Z460" s="226"/>
    </row>
    <row r="461" spans="1:26" ht="16.5" customHeight="1">
      <c r="A461" s="237"/>
      <c r="B461" s="237"/>
      <c r="C461" s="237"/>
      <c r="D461" s="226"/>
      <c r="E461" s="226"/>
      <c r="F461" s="226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226"/>
      <c r="S461" s="226"/>
      <c r="T461" s="226"/>
      <c r="U461" s="226"/>
      <c r="V461" s="226"/>
      <c r="W461" s="226"/>
      <c r="X461" s="226"/>
      <c r="Y461" s="226"/>
      <c r="Z461" s="226"/>
    </row>
    <row r="462" spans="1:26" ht="16.5" customHeight="1">
      <c r="A462" s="237"/>
      <c r="B462" s="237"/>
      <c r="C462" s="237"/>
      <c r="D462" s="226"/>
      <c r="E462" s="226"/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  <c r="T462" s="226"/>
      <c r="U462" s="226"/>
      <c r="V462" s="226"/>
      <c r="W462" s="226"/>
      <c r="X462" s="226"/>
      <c r="Y462" s="226"/>
      <c r="Z462" s="226"/>
    </row>
    <row r="463" spans="1:26" ht="16.5" customHeight="1">
      <c r="A463" s="237"/>
      <c r="B463" s="237"/>
      <c r="C463" s="237"/>
      <c r="D463" s="226"/>
      <c r="E463" s="226"/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  <c r="T463" s="226"/>
      <c r="U463" s="226"/>
      <c r="V463" s="226"/>
      <c r="W463" s="226"/>
      <c r="X463" s="226"/>
      <c r="Y463" s="226"/>
      <c r="Z463" s="226"/>
    </row>
    <row r="464" spans="1:26" ht="16.5" customHeight="1">
      <c r="A464" s="237"/>
      <c r="B464" s="237"/>
      <c r="C464" s="237"/>
      <c r="D464" s="226"/>
      <c r="E464" s="226"/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  <c r="T464" s="226"/>
      <c r="U464" s="226"/>
      <c r="V464" s="226"/>
      <c r="W464" s="226"/>
      <c r="X464" s="226"/>
      <c r="Y464" s="226"/>
      <c r="Z464" s="226"/>
    </row>
    <row r="465" spans="1:26" ht="16.5" customHeight="1">
      <c r="A465" s="237"/>
      <c r="B465" s="237"/>
      <c r="C465" s="237"/>
      <c r="D465" s="226"/>
      <c r="E465" s="226"/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  <c r="T465" s="226"/>
      <c r="U465" s="226"/>
      <c r="V465" s="226"/>
      <c r="W465" s="226"/>
      <c r="X465" s="226"/>
      <c r="Y465" s="226"/>
      <c r="Z465" s="226"/>
    </row>
    <row r="466" spans="1:26" ht="16.5" customHeight="1">
      <c r="A466" s="237"/>
      <c r="B466" s="237"/>
      <c r="C466" s="237"/>
      <c r="D466" s="226"/>
      <c r="E466" s="226"/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  <c r="T466" s="226"/>
      <c r="U466" s="226"/>
      <c r="V466" s="226"/>
      <c r="W466" s="226"/>
      <c r="X466" s="226"/>
      <c r="Y466" s="226"/>
      <c r="Z466" s="226"/>
    </row>
    <row r="467" spans="1:26" ht="16.5" customHeight="1">
      <c r="A467" s="237"/>
      <c r="B467" s="237"/>
      <c r="C467" s="237"/>
      <c r="D467" s="226"/>
      <c r="E467" s="226"/>
      <c r="F467" s="226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226"/>
      <c r="S467" s="226"/>
      <c r="T467" s="226"/>
      <c r="U467" s="226"/>
      <c r="V467" s="226"/>
      <c r="W467" s="226"/>
      <c r="X467" s="226"/>
      <c r="Y467" s="226"/>
      <c r="Z467" s="226"/>
    </row>
    <row r="468" spans="1:26" ht="16.5" customHeight="1">
      <c r="A468" s="237"/>
      <c r="B468" s="237"/>
      <c r="C468" s="237"/>
      <c r="D468" s="226"/>
      <c r="E468" s="226"/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6"/>
      <c r="S468" s="226"/>
      <c r="T468" s="226"/>
      <c r="U468" s="226"/>
      <c r="V468" s="226"/>
      <c r="W468" s="226"/>
      <c r="X468" s="226"/>
      <c r="Y468" s="226"/>
      <c r="Z468" s="226"/>
    </row>
    <row r="469" spans="1:26" ht="16.5" customHeight="1">
      <c r="A469" s="237"/>
      <c r="B469" s="237"/>
      <c r="C469" s="237"/>
      <c r="D469" s="226"/>
      <c r="E469" s="226"/>
      <c r="F469" s="226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226"/>
      <c r="S469" s="226"/>
      <c r="T469" s="226"/>
      <c r="U469" s="226"/>
      <c r="V469" s="226"/>
      <c r="W469" s="226"/>
      <c r="X469" s="226"/>
      <c r="Y469" s="226"/>
      <c r="Z469" s="226"/>
    </row>
    <row r="470" spans="1:26" ht="16.5" customHeight="1">
      <c r="A470" s="237"/>
      <c r="B470" s="237"/>
      <c r="C470" s="237"/>
      <c r="D470" s="226"/>
      <c r="E470" s="226"/>
      <c r="F470" s="226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226"/>
      <c r="S470" s="226"/>
      <c r="T470" s="226"/>
      <c r="U470" s="226"/>
      <c r="V470" s="226"/>
      <c r="W470" s="226"/>
      <c r="X470" s="226"/>
      <c r="Y470" s="226"/>
      <c r="Z470" s="226"/>
    </row>
    <row r="471" spans="1:26" ht="16.5" customHeight="1">
      <c r="A471" s="237"/>
      <c r="B471" s="237"/>
      <c r="C471" s="237"/>
      <c r="D471" s="226"/>
      <c r="E471" s="226"/>
      <c r="F471" s="226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226"/>
      <c r="S471" s="226"/>
      <c r="T471" s="226"/>
      <c r="U471" s="226"/>
      <c r="V471" s="226"/>
      <c r="W471" s="226"/>
      <c r="X471" s="226"/>
      <c r="Y471" s="226"/>
      <c r="Z471" s="226"/>
    </row>
    <row r="472" spans="1:26" ht="16.5" customHeight="1">
      <c r="A472" s="237"/>
      <c r="B472" s="237"/>
      <c r="C472" s="237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226"/>
      <c r="S472" s="226"/>
      <c r="T472" s="226"/>
      <c r="U472" s="226"/>
      <c r="V472" s="226"/>
      <c r="W472" s="226"/>
      <c r="X472" s="226"/>
      <c r="Y472" s="226"/>
      <c r="Z472" s="226"/>
    </row>
    <row r="473" spans="1:26" ht="16.5" customHeight="1">
      <c r="A473" s="237"/>
      <c r="B473" s="237"/>
      <c r="C473" s="237"/>
      <c r="D473" s="226"/>
      <c r="E473" s="226"/>
      <c r="F473" s="226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226"/>
      <c r="S473" s="226"/>
      <c r="T473" s="226"/>
      <c r="U473" s="226"/>
      <c r="V473" s="226"/>
      <c r="W473" s="226"/>
      <c r="X473" s="226"/>
      <c r="Y473" s="226"/>
      <c r="Z473" s="226"/>
    </row>
    <row r="474" spans="1:26" ht="16.5" customHeight="1">
      <c r="A474" s="237"/>
      <c r="B474" s="237"/>
      <c r="C474" s="237"/>
      <c r="D474" s="226"/>
      <c r="E474" s="226"/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6"/>
      <c r="U474" s="226"/>
      <c r="V474" s="226"/>
      <c r="W474" s="226"/>
      <c r="X474" s="226"/>
      <c r="Y474" s="226"/>
      <c r="Z474" s="226"/>
    </row>
    <row r="475" spans="1:26" ht="16.5" customHeight="1">
      <c r="A475" s="237"/>
      <c r="B475" s="237"/>
      <c r="C475" s="237"/>
      <c r="D475" s="226"/>
      <c r="E475" s="226"/>
      <c r="F475" s="226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226"/>
      <c r="S475" s="226"/>
      <c r="T475" s="226"/>
      <c r="U475" s="226"/>
      <c r="V475" s="226"/>
      <c r="W475" s="226"/>
      <c r="X475" s="226"/>
      <c r="Y475" s="226"/>
      <c r="Z475" s="226"/>
    </row>
    <row r="476" spans="1:26" ht="16.5" customHeight="1">
      <c r="A476" s="237"/>
      <c r="B476" s="237"/>
      <c r="C476" s="237"/>
      <c r="D476" s="226"/>
      <c r="E476" s="226"/>
      <c r="F476" s="226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226"/>
      <c r="S476" s="226"/>
      <c r="T476" s="226"/>
      <c r="U476" s="226"/>
      <c r="V476" s="226"/>
      <c r="W476" s="226"/>
      <c r="X476" s="226"/>
      <c r="Y476" s="226"/>
      <c r="Z476" s="226"/>
    </row>
    <row r="477" spans="1:26" ht="16.5" customHeight="1">
      <c r="A477" s="237"/>
      <c r="B477" s="237"/>
      <c r="C477" s="237"/>
      <c r="D477" s="226"/>
      <c r="E477" s="226"/>
      <c r="F477" s="226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226"/>
      <c r="S477" s="226"/>
      <c r="T477" s="226"/>
      <c r="U477" s="226"/>
      <c r="V477" s="226"/>
      <c r="W477" s="226"/>
      <c r="X477" s="226"/>
      <c r="Y477" s="226"/>
      <c r="Z477" s="226"/>
    </row>
    <row r="478" spans="1:26" ht="16.5" customHeight="1">
      <c r="A478" s="237"/>
      <c r="B478" s="237"/>
      <c r="C478" s="237"/>
      <c r="D478" s="226"/>
      <c r="E478" s="226"/>
      <c r="F478" s="226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226"/>
      <c r="S478" s="226"/>
      <c r="T478" s="226"/>
      <c r="U478" s="226"/>
      <c r="V478" s="226"/>
      <c r="W478" s="226"/>
      <c r="X478" s="226"/>
      <c r="Y478" s="226"/>
      <c r="Z478" s="226"/>
    </row>
    <row r="479" spans="1:26" ht="16.5" customHeight="1">
      <c r="A479" s="237"/>
      <c r="B479" s="237"/>
      <c r="C479" s="237"/>
      <c r="D479" s="226"/>
      <c r="E479" s="226"/>
      <c r="F479" s="226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226"/>
      <c r="S479" s="226"/>
      <c r="T479" s="226"/>
      <c r="U479" s="226"/>
      <c r="V479" s="226"/>
      <c r="W479" s="226"/>
      <c r="X479" s="226"/>
      <c r="Y479" s="226"/>
      <c r="Z479" s="226"/>
    </row>
    <row r="480" spans="1:26" ht="16.5" customHeight="1">
      <c r="A480" s="237"/>
      <c r="B480" s="237"/>
      <c r="C480" s="237"/>
      <c r="D480" s="226"/>
      <c r="E480" s="226"/>
      <c r="F480" s="226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226"/>
      <c r="S480" s="226"/>
      <c r="T480" s="226"/>
      <c r="U480" s="226"/>
      <c r="V480" s="226"/>
      <c r="W480" s="226"/>
      <c r="X480" s="226"/>
      <c r="Y480" s="226"/>
      <c r="Z480" s="226"/>
    </row>
    <row r="481" spans="1:26" ht="16.5" customHeight="1">
      <c r="A481" s="237"/>
      <c r="B481" s="237"/>
      <c r="C481" s="237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</row>
    <row r="482" spans="1:26" ht="16.5" customHeight="1">
      <c r="A482" s="237"/>
      <c r="B482" s="237"/>
      <c r="C482" s="237"/>
      <c r="D482" s="226"/>
      <c r="E482" s="226"/>
      <c r="F482" s="226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226"/>
      <c r="S482" s="226"/>
      <c r="T482" s="226"/>
      <c r="U482" s="226"/>
      <c r="V482" s="226"/>
      <c r="W482" s="226"/>
      <c r="X482" s="226"/>
      <c r="Y482" s="226"/>
      <c r="Z482" s="226"/>
    </row>
    <row r="483" spans="1:26" ht="16.5" customHeight="1">
      <c r="A483" s="237"/>
      <c r="B483" s="237"/>
      <c r="C483" s="237"/>
      <c r="D483" s="226"/>
      <c r="E483" s="226"/>
      <c r="F483" s="226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226"/>
      <c r="S483" s="226"/>
      <c r="T483" s="226"/>
      <c r="U483" s="226"/>
      <c r="V483" s="226"/>
      <c r="W483" s="226"/>
      <c r="X483" s="226"/>
      <c r="Y483" s="226"/>
      <c r="Z483" s="226"/>
    </row>
    <row r="484" spans="1:26" ht="16.5" customHeight="1">
      <c r="A484" s="237"/>
      <c r="B484" s="237"/>
      <c r="C484" s="237"/>
      <c r="D484" s="226"/>
      <c r="E484" s="226"/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26"/>
      <c r="T484" s="226"/>
      <c r="U484" s="226"/>
      <c r="V484" s="226"/>
      <c r="W484" s="226"/>
      <c r="X484" s="226"/>
      <c r="Y484" s="226"/>
      <c r="Z484" s="226"/>
    </row>
    <row r="485" spans="1:26" ht="16.5" customHeight="1">
      <c r="A485" s="237"/>
      <c r="B485" s="237"/>
      <c r="C485" s="237"/>
      <c r="D485" s="226"/>
      <c r="E485" s="226"/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6"/>
      <c r="S485" s="226"/>
      <c r="T485" s="226"/>
      <c r="U485" s="226"/>
      <c r="V485" s="226"/>
      <c r="W485" s="226"/>
      <c r="X485" s="226"/>
      <c r="Y485" s="226"/>
      <c r="Z485" s="226"/>
    </row>
    <row r="486" spans="1:26" ht="16.5" customHeight="1">
      <c r="A486" s="237"/>
      <c r="B486" s="237"/>
      <c r="C486" s="237"/>
      <c r="D486" s="226"/>
      <c r="E486" s="226"/>
      <c r="F486" s="226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226"/>
      <c r="S486" s="226"/>
      <c r="T486" s="226"/>
      <c r="U486" s="226"/>
      <c r="V486" s="226"/>
      <c r="W486" s="226"/>
      <c r="X486" s="226"/>
      <c r="Y486" s="226"/>
      <c r="Z486" s="226"/>
    </row>
    <row r="487" spans="1:26" ht="16.5" customHeight="1">
      <c r="A487" s="237"/>
      <c r="B487" s="237"/>
      <c r="C487" s="237"/>
      <c r="D487" s="226"/>
      <c r="E487" s="226"/>
      <c r="F487" s="226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226"/>
      <c r="S487" s="226"/>
      <c r="T487" s="226"/>
      <c r="U487" s="226"/>
      <c r="V487" s="226"/>
      <c r="W487" s="226"/>
      <c r="X487" s="226"/>
      <c r="Y487" s="226"/>
      <c r="Z487" s="226"/>
    </row>
    <row r="488" spans="1:26" ht="16.5" customHeight="1">
      <c r="A488" s="237"/>
      <c r="B488" s="237"/>
      <c r="C488" s="237"/>
      <c r="D488" s="226"/>
      <c r="E488" s="226"/>
      <c r="F488" s="226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226"/>
      <c r="S488" s="226"/>
      <c r="T488" s="226"/>
      <c r="U488" s="226"/>
      <c r="V488" s="226"/>
      <c r="W488" s="226"/>
      <c r="X488" s="226"/>
      <c r="Y488" s="226"/>
      <c r="Z488" s="226"/>
    </row>
    <row r="489" spans="1:26" ht="16.5" customHeight="1">
      <c r="A489" s="237"/>
      <c r="B489" s="237"/>
      <c r="C489" s="237"/>
      <c r="D489" s="226"/>
      <c r="E489" s="226"/>
      <c r="F489" s="226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226"/>
      <c r="S489" s="226"/>
      <c r="T489" s="226"/>
      <c r="U489" s="226"/>
      <c r="V489" s="226"/>
      <c r="W489" s="226"/>
      <c r="X489" s="226"/>
      <c r="Y489" s="226"/>
      <c r="Z489" s="226"/>
    </row>
    <row r="490" spans="1:26" ht="16.5" customHeight="1">
      <c r="A490" s="237"/>
      <c r="B490" s="237"/>
      <c r="C490" s="237"/>
      <c r="D490" s="226"/>
      <c r="E490" s="226"/>
      <c r="F490" s="226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226"/>
      <c r="S490" s="226"/>
      <c r="T490" s="226"/>
      <c r="U490" s="226"/>
      <c r="V490" s="226"/>
      <c r="W490" s="226"/>
      <c r="X490" s="226"/>
      <c r="Y490" s="226"/>
      <c r="Z490" s="226"/>
    </row>
    <row r="491" spans="1:26" ht="16.5" customHeight="1">
      <c r="A491" s="237"/>
      <c r="B491" s="237"/>
      <c r="C491" s="237"/>
      <c r="D491" s="226"/>
      <c r="E491" s="226"/>
      <c r="F491" s="226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226"/>
      <c r="S491" s="226"/>
      <c r="T491" s="226"/>
      <c r="U491" s="226"/>
      <c r="V491" s="226"/>
      <c r="W491" s="226"/>
      <c r="X491" s="226"/>
      <c r="Y491" s="226"/>
      <c r="Z491" s="226"/>
    </row>
    <row r="492" spans="1:26" ht="16.5" customHeight="1">
      <c r="A492" s="237"/>
      <c r="B492" s="237"/>
      <c r="C492" s="237"/>
      <c r="D492" s="226"/>
      <c r="E492" s="226"/>
      <c r="F492" s="226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226"/>
      <c r="S492" s="226"/>
      <c r="T492" s="226"/>
      <c r="U492" s="226"/>
      <c r="V492" s="226"/>
      <c r="W492" s="226"/>
      <c r="X492" s="226"/>
      <c r="Y492" s="226"/>
      <c r="Z492" s="226"/>
    </row>
    <row r="493" spans="1:26" ht="16.5" customHeight="1">
      <c r="A493" s="237"/>
      <c r="B493" s="237"/>
      <c r="C493" s="237"/>
      <c r="D493" s="226"/>
      <c r="E493" s="226"/>
      <c r="F493" s="226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226"/>
      <c r="S493" s="226"/>
      <c r="T493" s="226"/>
      <c r="U493" s="226"/>
      <c r="V493" s="226"/>
      <c r="W493" s="226"/>
      <c r="X493" s="226"/>
      <c r="Y493" s="226"/>
      <c r="Z493" s="226"/>
    </row>
    <row r="494" spans="1:26" ht="16.5" customHeight="1">
      <c r="A494" s="237"/>
      <c r="B494" s="237"/>
      <c r="C494" s="237"/>
      <c r="D494" s="226"/>
      <c r="E494" s="226"/>
      <c r="F494" s="226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226"/>
      <c r="S494" s="226"/>
      <c r="T494" s="226"/>
      <c r="U494" s="226"/>
      <c r="V494" s="226"/>
      <c r="W494" s="226"/>
      <c r="X494" s="226"/>
      <c r="Y494" s="226"/>
      <c r="Z494" s="226"/>
    </row>
    <row r="495" spans="1:26" ht="16.5" customHeight="1">
      <c r="A495" s="237"/>
      <c r="B495" s="237"/>
      <c r="C495" s="237"/>
      <c r="D495" s="226"/>
      <c r="E495" s="226"/>
      <c r="F495" s="226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226"/>
      <c r="S495" s="226"/>
      <c r="T495" s="226"/>
      <c r="U495" s="226"/>
      <c r="V495" s="226"/>
      <c r="W495" s="226"/>
      <c r="X495" s="226"/>
      <c r="Y495" s="226"/>
      <c r="Z495" s="226"/>
    </row>
    <row r="496" spans="1:26" ht="16.5" customHeight="1">
      <c r="A496" s="237"/>
      <c r="B496" s="237"/>
      <c r="C496" s="237"/>
      <c r="D496" s="226"/>
      <c r="E496" s="226"/>
      <c r="F496" s="226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226"/>
      <c r="S496" s="226"/>
      <c r="T496" s="226"/>
      <c r="U496" s="226"/>
      <c r="V496" s="226"/>
      <c r="W496" s="226"/>
      <c r="X496" s="226"/>
      <c r="Y496" s="226"/>
      <c r="Z496" s="226"/>
    </row>
    <row r="497" spans="1:26" ht="16.5" customHeight="1">
      <c r="A497" s="237"/>
      <c r="B497" s="237"/>
      <c r="C497" s="237"/>
      <c r="D497" s="226"/>
      <c r="E497" s="226"/>
      <c r="F497" s="226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26"/>
      <c r="S497" s="226"/>
      <c r="T497" s="226"/>
      <c r="U497" s="226"/>
      <c r="V497" s="226"/>
      <c r="W497" s="226"/>
      <c r="X497" s="226"/>
      <c r="Y497" s="226"/>
      <c r="Z497" s="226"/>
    </row>
    <row r="498" spans="1:26" ht="16.5" customHeight="1">
      <c r="A498" s="237"/>
      <c r="B498" s="237"/>
      <c r="C498" s="237"/>
      <c r="D498" s="226"/>
      <c r="E498" s="226"/>
      <c r="F498" s="226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226"/>
      <c r="S498" s="226"/>
      <c r="T498" s="226"/>
      <c r="U498" s="226"/>
      <c r="V498" s="226"/>
      <c r="W498" s="226"/>
      <c r="X498" s="226"/>
      <c r="Y498" s="226"/>
      <c r="Z498" s="226"/>
    </row>
    <row r="499" spans="1:26" ht="16.5" customHeight="1">
      <c r="A499" s="237"/>
      <c r="B499" s="237"/>
      <c r="C499" s="237"/>
      <c r="D499" s="226"/>
      <c r="E499" s="226"/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  <c r="T499" s="226"/>
      <c r="U499" s="226"/>
      <c r="V499" s="226"/>
      <c r="W499" s="226"/>
      <c r="X499" s="226"/>
      <c r="Y499" s="226"/>
      <c r="Z499" s="226"/>
    </row>
    <row r="500" spans="1:26" ht="16.5" customHeight="1">
      <c r="A500" s="237"/>
      <c r="B500" s="237"/>
      <c r="C500" s="237"/>
      <c r="D500" s="226"/>
      <c r="E500" s="226"/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  <c r="T500" s="226"/>
      <c r="U500" s="226"/>
      <c r="V500" s="226"/>
      <c r="W500" s="226"/>
      <c r="X500" s="226"/>
      <c r="Y500" s="226"/>
      <c r="Z500" s="226"/>
    </row>
    <row r="501" spans="1:26" ht="16.5" customHeight="1">
      <c r="A501" s="237"/>
      <c r="B501" s="237"/>
      <c r="C501" s="237"/>
      <c r="D501" s="226"/>
      <c r="E501" s="226"/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  <c r="T501" s="226"/>
      <c r="U501" s="226"/>
      <c r="V501" s="226"/>
      <c r="W501" s="226"/>
      <c r="X501" s="226"/>
      <c r="Y501" s="226"/>
      <c r="Z501" s="226"/>
    </row>
    <row r="502" spans="1:26" ht="16.5" customHeight="1">
      <c r="A502" s="237"/>
      <c r="B502" s="237"/>
      <c r="C502" s="237"/>
      <c r="D502" s="226"/>
      <c r="E502" s="226"/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  <c r="T502" s="226"/>
      <c r="U502" s="226"/>
      <c r="V502" s="226"/>
      <c r="W502" s="226"/>
      <c r="X502" s="226"/>
      <c r="Y502" s="226"/>
      <c r="Z502" s="226"/>
    </row>
    <row r="503" spans="1:26" ht="16.5" customHeight="1">
      <c r="A503" s="237"/>
      <c r="B503" s="237"/>
      <c r="C503" s="237"/>
      <c r="D503" s="226"/>
      <c r="E503" s="226"/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  <c r="T503" s="226"/>
      <c r="U503" s="226"/>
      <c r="V503" s="226"/>
      <c r="W503" s="226"/>
      <c r="X503" s="226"/>
      <c r="Y503" s="226"/>
      <c r="Z503" s="226"/>
    </row>
    <row r="504" spans="1:26" ht="16.5" customHeight="1">
      <c r="A504" s="237"/>
      <c r="B504" s="237"/>
      <c r="C504" s="237"/>
      <c r="D504" s="226"/>
      <c r="E504" s="226"/>
      <c r="F504" s="226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226"/>
      <c r="S504" s="226"/>
      <c r="T504" s="226"/>
      <c r="U504" s="226"/>
      <c r="V504" s="226"/>
      <c r="W504" s="226"/>
      <c r="X504" s="226"/>
      <c r="Y504" s="226"/>
      <c r="Z504" s="226"/>
    </row>
    <row r="505" spans="1:26" ht="16.5" customHeight="1">
      <c r="A505" s="237"/>
      <c r="B505" s="237"/>
      <c r="C505" s="237"/>
      <c r="D505" s="226"/>
      <c r="E505" s="226"/>
      <c r="F505" s="226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226"/>
      <c r="S505" s="226"/>
      <c r="T505" s="226"/>
      <c r="U505" s="226"/>
      <c r="V505" s="226"/>
      <c r="W505" s="226"/>
      <c r="X505" s="226"/>
      <c r="Y505" s="226"/>
      <c r="Z505" s="226"/>
    </row>
    <row r="506" spans="1:26" ht="16.5" customHeight="1">
      <c r="A506" s="237"/>
      <c r="B506" s="237"/>
      <c r="C506" s="237"/>
      <c r="D506" s="226"/>
      <c r="E506" s="226"/>
      <c r="F506" s="226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226"/>
      <c r="S506" s="226"/>
      <c r="T506" s="226"/>
      <c r="U506" s="226"/>
      <c r="V506" s="226"/>
      <c r="W506" s="226"/>
      <c r="X506" s="226"/>
      <c r="Y506" s="226"/>
      <c r="Z506" s="226"/>
    </row>
    <row r="507" spans="1:26" ht="16.5" customHeight="1">
      <c r="A507" s="237"/>
      <c r="B507" s="237"/>
      <c r="C507" s="237"/>
      <c r="D507" s="226"/>
      <c r="E507" s="226"/>
      <c r="F507" s="226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226"/>
      <c r="S507" s="226"/>
      <c r="T507" s="226"/>
      <c r="U507" s="226"/>
      <c r="V507" s="226"/>
      <c r="W507" s="226"/>
      <c r="X507" s="226"/>
      <c r="Y507" s="226"/>
      <c r="Z507" s="226"/>
    </row>
    <row r="508" spans="1:26" ht="16.5" customHeight="1">
      <c r="A508" s="237"/>
      <c r="B508" s="237"/>
      <c r="C508" s="237"/>
      <c r="D508" s="226"/>
      <c r="E508" s="226"/>
      <c r="F508" s="226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226"/>
      <c r="S508" s="226"/>
      <c r="T508" s="226"/>
      <c r="U508" s="226"/>
      <c r="V508" s="226"/>
      <c r="W508" s="226"/>
      <c r="X508" s="226"/>
      <c r="Y508" s="226"/>
      <c r="Z508" s="226"/>
    </row>
    <row r="509" spans="1:26" ht="16.5" customHeight="1">
      <c r="A509" s="237"/>
      <c r="B509" s="237"/>
      <c r="C509" s="237"/>
      <c r="D509" s="226"/>
      <c r="E509" s="226"/>
      <c r="F509" s="226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226"/>
      <c r="S509" s="226"/>
      <c r="T509" s="226"/>
      <c r="U509" s="226"/>
      <c r="V509" s="226"/>
      <c r="W509" s="226"/>
      <c r="X509" s="226"/>
      <c r="Y509" s="226"/>
      <c r="Z509" s="226"/>
    </row>
    <row r="510" spans="1:26" ht="16.5" customHeight="1">
      <c r="A510" s="237"/>
      <c r="B510" s="237"/>
      <c r="C510" s="237"/>
      <c r="D510" s="226"/>
      <c r="E510" s="226"/>
      <c r="F510" s="226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226"/>
      <c r="S510" s="226"/>
      <c r="T510" s="226"/>
      <c r="U510" s="226"/>
      <c r="V510" s="226"/>
      <c r="W510" s="226"/>
      <c r="X510" s="226"/>
      <c r="Y510" s="226"/>
      <c r="Z510" s="226"/>
    </row>
    <row r="511" spans="1:26" ht="16.5" customHeight="1">
      <c r="A511" s="237"/>
      <c r="B511" s="237"/>
      <c r="C511" s="237"/>
      <c r="D511" s="226"/>
      <c r="E511" s="226"/>
      <c r="F511" s="226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226"/>
      <c r="S511" s="226"/>
      <c r="T511" s="226"/>
      <c r="U511" s="226"/>
      <c r="V511" s="226"/>
      <c r="W511" s="226"/>
      <c r="X511" s="226"/>
      <c r="Y511" s="226"/>
      <c r="Z511" s="226"/>
    </row>
    <row r="512" spans="1:26" ht="16.5" customHeight="1">
      <c r="A512" s="237"/>
      <c r="B512" s="237"/>
      <c r="C512" s="237"/>
      <c r="D512" s="226"/>
      <c r="E512" s="226"/>
      <c r="F512" s="226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226"/>
      <c r="S512" s="226"/>
      <c r="T512" s="226"/>
      <c r="U512" s="226"/>
      <c r="V512" s="226"/>
      <c r="W512" s="226"/>
      <c r="X512" s="226"/>
      <c r="Y512" s="226"/>
      <c r="Z512" s="226"/>
    </row>
    <row r="513" spans="1:26" ht="16.5" customHeight="1">
      <c r="A513" s="237"/>
      <c r="B513" s="237"/>
      <c r="C513" s="237"/>
      <c r="D513" s="226"/>
      <c r="E513" s="226"/>
      <c r="F513" s="226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226"/>
      <c r="S513" s="226"/>
      <c r="T513" s="226"/>
      <c r="U513" s="226"/>
      <c r="V513" s="226"/>
      <c r="W513" s="226"/>
      <c r="X513" s="226"/>
      <c r="Y513" s="226"/>
      <c r="Z513" s="226"/>
    </row>
    <row r="514" spans="1:26" ht="16.5" customHeight="1">
      <c r="A514" s="237"/>
      <c r="B514" s="237"/>
      <c r="C514" s="237"/>
      <c r="D514" s="226"/>
      <c r="E514" s="226"/>
      <c r="F514" s="226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226"/>
      <c r="S514" s="226"/>
      <c r="T514" s="226"/>
      <c r="U514" s="226"/>
      <c r="V514" s="226"/>
      <c r="W514" s="226"/>
      <c r="X514" s="226"/>
      <c r="Y514" s="226"/>
      <c r="Z514" s="226"/>
    </row>
    <row r="515" spans="1:26" ht="16.5" customHeight="1">
      <c r="A515" s="237"/>
      <c r="B515" s="237"/>
      <c r="C515" s="237"/>
      <c r="D515" s="226"/>
      <c r="E515" s="226"/>
      <c r="F515" s="226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226"/>
      <c r="S515" s="226"/>
      <c r="T515" s="226"/>
      <c r="U515" s="226"/>
      <c r="V515" s="226"/>
      <c r="W515" s="226"/>
      <c r="X515" s="226"/>
      <c r="Y515" s="226"/>
      <c r="Z515" s="226"/>
    </row>
    <row r="516" spans="1:26" ht="16.5" customHeight="1">
      <c r="A516" s="237"/>
      <c r="B516" s="237"/>
      <c r="C516" s="237"/>
      <c r="D516" s="226"/>
      <c r="E516" s="226"/>
      <c r="F516" s="226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226"/>
      <c r="S516" s="226"/>
      <c r="T516" s="226"/>
      <c r="U516" s="226"/>
      <c r="V516" s="226"/>
      <c r="W516" s="226"/>
      <c r="X516" s="226"/>
      <c r="Y516" s="226"/>
      <c r="Z516" s="226"/>
    </row>
    <row r="517" spans="1:26" ht="16.5" customHeight="1">
      <c r="A517" s="237"/>
      <c r="B517" s="237"/>
      <c r="C517" s="237"/>
      <c r="D517" s="226"/>
      <c r="E517" s="226"/>
      <c r="F517" s="226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226"/>
      <c r="S517" s="226"/>
      <c r="T517" s="226"/>
      <c r="U517" s="226"/>
      <c r="V517" s="226"/>
      <c r="W517" s="226"/>
      <c r="X517" s="226"/>
      <c r="Y517" s="226"/>
      <c r="Z517" s="226"/>
    </row>
    <row r="518" spans="1:26" ht="16.5" customHeight="1">
      <c r="A518" s="237"/>
      <c r="B518" s="237"/>
      <c r="C518" s="237"/>
      <c r="D518" s="226"/>
      <c r="E518" s="226"/>
      <c r="F518" s="226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226"/>
      <c r="S518" s="226"/>
      <c r="T518" s="226"/>
      <c r="U518" s="226"/>
      <c r="V518" s="226"/>
      <c r="W518" s="226"/>
      <c r="X518" s="226"/>
      <c r="Y518" s="226"/>
      <c r="Z518" s="226"/>
    </row>
    <row r="519" spans="1:26" ht="16.5" customHeight="1">
      <c r="A519" s="237"/>
      <c r="B519" s="237"/>
      <c r="C519" s="237"/>
      <c r="D519" s="226"/>
      <c r="E519" s="226"/>
      <c r="F519" s="226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226"/>
      <c r="S519" s="226"/>
      <c r="T519" s="226"/>
      <c r="U519" s="226"/>
      <c r="V519" s="226"/>
      <c r="W519" s="226"/>
      <c r="X519" s="226"/>
      <c r="Y519" s="226"/>
      <c r="Z519" s="226"/>
    </row>
    <row r="520" spans="1:26" ht="16.5" customHeight="1">
      <c r="A520" s="237"/>
      <c r="B520" s="237"/>
      <c r="C520" s="237"/>
      <c r="D520" s="226"/>
      <c r="E520" s="226"/>
      <c r="F520" s="226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226"/>
      <c r="S520" s="226"/>
      <c r="T520" s="226"/>
      <c r="U520" s="226"/>
      <c r="V520" s="226"/>
      <c r="W520" s="226"/>
      <c r="X520" s="226"/>
      <c r="Y520" s="226"/>
      <c r="Z520" s="226"/>
    </row>
    <row r="521" spans="1:26" ht="16.5" customHeight="1">
      <c r="A521" s="237"/>
      <c r="B521" s="237"/>
      <c r="C521" s="237"/>
      <c r="D521" s="226"/>
      <c r="E521" s="226"/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6"/>
      <c r="U521" s="226"/>
      <c r="V521" s="226"/>
      <c r="W521" s="226"/>
      <c r="X521" s="226"/>
      <c r="Y521" s="226"/>
      <c r="Z521" s="226"/>
    </row>
    <row r="522" spans="1:26" ht="16.5" customHeight="1">
      <c r="A522" s="237"/>
      <c r="B522" s="237"/>
      <c r="C522" s="237"/>
      <c r="D522" s="226"/>
      <c r="E522" s="226"/>
      <c r="F522" s="226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226"/>
      <c r="S522" s="226"/>
      <c r="T522" s="226"/>
      <c r="U522" s="226"/>
      <c r="V522" s="226"/>
      <c r="W522" s="226"/>
      <c r="X522" s="226"/>
      <c r="Y522" s="226"/>
      <c r="Z522" s="226"/>
    </row>
    <row r="523" spans="1:26" ht="16.5" customHeight="1">
      <c r="A523" s="237"/>
      <c r="B523" s="237"/>
      <c r="C523" s="237"/>
      <c r="D523" s="226"/>
      <c r="E523" s="226"/>
      <c r="F523" s="226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226"/>
      <c r="S523" s="226"/>
      <c r="T523" s="226"/>
      <c r="U523" s="226"/>
      <c r="V523" s="226"/>
      <c r="W523" s="226"/>
      <c r="X523" s="226"/>
      <c r="Y523" s="226"/>
      <c r="Z523" s="226"/>
    </row>
    <row r="524" spans="1:26" ht="16.5" customHeight="1">
      <c r="A524" s="237"/>
      <c r="B524" s="237"/>
      <c r="C524" s="237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226"/>
      <c r="S524" s="226"/>
      <c r="T524" s="226"/>
      <c r="U524" s="226"/>
      <c r="V524" s="226"/>
      <c r="W524" s="226"/>
      <c r="X524" s="226"/>
      <c r="Y524" s="226"/>
      <c r="Z524" s="226"/>
    </row>
    <row r="525" spans="1:26" ht="16.5" customHeight="1">
      <c r="A525" s="237"/>
      <c r="B525" s="237"/>
      <c r="C525" s="237"/>
      <c r="D525" s="226"/>
      <c r="E525" s="226"/>
      <c r="F525" s="226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  <c r="Z525" s="226"/>
    </row>
    <row r="526" spans="1:26" ht="16.5" customHeight="1">
      <c r="A526" s="237"/>
      <c r="B526" s="237"/>
      <c r="C526" s="237"/>
      <c r="D526" s="226"/>
      <c r="E526" s="226"/>
      <c r="F526" s="226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226"/>
      <c r="S526" s="226"/>
      <c r="T526" s="226"/>
      <c r="U526" s="226"/>
      <c r="V526" s="226"/>
      <c r="W526" s="226"/>
      <c r="X526" s="226"/>
      <c r="Y526" s="226"/>
      <c r="Z526" s="226"/>
    </row>
    <row r="527" spans="1:26" ht="16.5" customHeight="1">
      <c r="A527" s="237"/>
      <c r="B527" s="237"/>
      <c r="C527" s="237"/>
      <c r="D527" s="226"/>
      <c r="E527" s="226"/>
      <c r="F527" s="226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226"/>
      <c r="S527" s="226"/>
      <c r="T527" s="226"/>
      <c r="U527" s="226"/>
      <c r="V527" s="226"/>
      <c r="W527" s="226"/>
      <c r="X527" s="226"/>
      <c r="Y527" s="226"/>
      <c r="Z527" s="226"/>
    </row>
    <row r="528" spans="1:26" ht="16.5" customHeight="1">
      <c r="A528" s="237"/>
      <c r="B528" s="237"/>
      <c r="C528" s="237"/>
      <c r="D528" s="226"/>
      <c r="E528" s="226"/>
      <c r="F528" s="226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226"/>
      <c r="S528" s="226"/>
      <c r="T528" s="226"/>
      <c r="U528" s="226"/>
      <c r="V528" s="226"/>
      <c r="W528" s="226"/>
      <c r="X528" s="226"/>
      <c r="Y528" s="226"/>
      <c r="Z528" s="226"/>
    </row>
    <row r="529" spans="1:26" ht="16.5" customHeight="1">
      <c r="A529" s="237"/>
      <c r="B529" s="237"/>
      <c r="C529" s="237"/>
      <c r="D529" s="226"/>
      <c r="E529" s="226"/>
      <c r="F529" s="226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226"/>
      <c r="S529" s="226"/>
      <c r="T529" s="226"/>
      <c r="U529" s="226"/>
      <c r="V529" s="226"/>
      <c r="W529" s="226"/>
      <c r="X529" s="226"/>
      <c r="Y529" s="226"/>
      <c r="Z529" s="226"/>
    </row>
    <row r="530" spans="1:26" ht="16.5" customHeight="1">
      <c r="A530" s="237"/>
      <c r="B530" s="237"/>
      <c r="C530" s="237"/>
      <c r="D530" s="226"/>
      <c r="E530" s="226"/>
      <c r="F530" s="226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226"/>
      <c r="S530" s="226"/>
      <c r="T530" s="226"/>
      <c r="U530" s="226"/>
      <c r="V530" s="226"/>
      <c r="W530" s="226"/>
      <c r="X530" s="226"/>
      <c r="Y530" s="226"/>
      <c r="Z530" s="226"/>
    </row>
    <row r="531" spans="1:26" ht="16.5" customHeight="1">
      <c r="A531" s="237"/>
      <c r="B531" s="237"/>
      <c r="C531" s="237"/>
      <c r="D531" s="226"/>
      <c r="E531" s="226"/>
      <c r="F531" s="226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226"/>
      <c r="S531" s="226"/>
      <c r="T531" s="226"/>
      <c r="U531" s="226"/>
      <c r="V531" s="226"/>
      <c r="W531" s="226"/>
      <c r="X531" s="226"/>
      <c r="Y531" s="226"/>
      <c r="Z531" s="226"/>
    </row>
    <row r="532" spans="1:26" ht="16.5" customHeight="1">
      <c r="A532" s="237"/>
      <c r="B532" s="237"/>
      <c r="C532" s="237"/>
      <c r="D532" s="226"/>
      <c r="E532" s="226"/>
      <c r="F532" s="226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226"/>
      <c r="S532" s="226"/>
      <c r="T532" s="226"/>
      <c r="U532" s="226"/>
      <c r="V532" s="226"/>
      <c r="W532" s="226"/>
      <c r="X532" s="226"/>
      <c r="Y532" s="226"/>
      <c r="Z532" s="226"/>
    </row>
    <row r="533" spans="1:26" ht="16.5" customHeight="1">
      <c r="A533" s="237"/>
      <c r="B533" s="237"/>
      <c r="C533" s="237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</row>
    <row r="534" spans="1:26" ht="16.5" customHeight="1">
      <c r="A534" s="237"/>
      <c r="B534" s="237"/>
      <c r="C534" s="237"/>
      <c r="D534" s="226"/>
      <c r="E534" s="226"/>
      <c r="F534" s="226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226"/>
      <c r="S534" s="226"/>
      <c r="T534" s="226"/>
      <c r="U534" s="226"/>
      <c r="V534" s="226"/>
      <c r="W534" s="226"/>
      <c r="X534" s="226"/>
      <c r="Y534" s="226"/>
      <c r="Z534" s="226"/>
    </row>
    <row r="535" spans="1:26" ht="16.5" customHeight="1">
      <c r="A535" s="237"/>
      <c r="B535" s="237"/>
      <c r="C535" s="237"/>
      <c r="D535" s="226"/>
      <c r="E535" s="226"/>
      <c r="F535" s="226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226"/>
      <c r="S535" s="226"/>
      <c r="T535" s="226"/>
      <c r="U535" s="226"/>
      <c r="V535" s="226"/>
      <c r="W535" s="226"/>
      <c r="X535" s="226"/>
      <c r="Y535" s="226"/>
      <c r="Z535" s="226"/>
    </row>
    <row r="536" spans="1:26" ht="16.5" customHeight="1">
      <c r="A536" s="237"/>
      <c r="B536" s="237"/>
      <c r="C536" s="237"/>
      <c r="D536" s="226"/>
      <c r="E536" s="226"/>
      <c r="F536" s="226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226"/>
      <c r="S536" s="226"/>
      <c r="T536" s="226"/>
      <c r="U536" s="226"/>
      <c r="V536" s="226"/>
      <c r="W536" s="226"/>
      <c r="X536" s="226"/>
      <c r="Y536" s="226"/>
      <c r="Z536" s="226"/>
    </row>
    <row r="537" spans="1:26" ht="16.5" customHeight="1">
      <c r="A537" s="237"/>
      <c r="B537" s="237"/>
      <c r="C537" s="237"/>
      <c r="D537" s="226"/>
      <c r="E537" s="226"/>
      <c r="F537" s="226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26"/>
      <c r="S537" s="226"/>
      <c r="T537" s="226"/>
      <c r="U537" s="226"/>
      <c r="V537" s="226"/>
      <c r="W537" s="226"/>
      <c r="X537" s="226"/>
      <c r="Y537" s="226"/>
      <c r="Z537" s="226"/>
    </row>
    <row r="538" spans="1:26" ht="16.5" customHeight="1">
      <c r="A538" s="237"/>
      <c r="B538" s="237"/>
      <c r="C538" s="237"/>
      <c r="D538" s="226"/>
      <c r="E538" s="226"/>
      <c r="F538" s="226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226"/>
      <c r="S538" s="226"/>
      <c r="T538" s="226"/>
      <c r="U538" s="226"/>
      <c r="V538" s="226"/>
      <c r="W538" s="226"/>
      <c r="X538" s="226"/>
      <c r="Y538" s="226"/>
      <c r="Z538" s="226"/>
    </row>
    <row r="539" spans="1:26" ht="16.5" customHeight="1">
      <c r="A539" s="237"/>
      <c r="B539" s="237"/>
      <c r="C539" s="237"/>
      <c r="D539" s="226"/>
      <c r="E539" s="226"/>
      <c r="F539" s="226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226"/>
      <c r="S539" s="226"/>
      <c r="T539" s="226"/>
      <c r="U539" s="226"/>
      <c r="V539" s="226"/>
      <c r="W539" s="226"/>
      <c r="X539" s="226"/>
      <c r="Y539" s="226"/>
      <c r="Z539" s="226"/>
    </row>
    <row r="540" spans="1:26" ht="16.5" customHeight="1">
      <c r="A540" s="237"/>
      <c r="B540" s="237"/>
      <c r="C540" s="237"/>
      <c r="D540" s="226"/>
      <c r="E540" s="226"/>
      <c r="F540" s="226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226"/>
      <c r="S540" s="226"/>
      <c r="T540" s="226"/>
      <c r="U540" s="226"/>
      <c r="V540" s="226"/>
      <c r="W540" s="226"/>
      <c r="X540" s="226"/>
      <c r="Y540" s="226"/>
      <c r="Z540" s="226"/>
    </row>
    <row r="541" spans="1:26" ht="16.5" customHeight="1">
      <c r="A541" s="237"/>
      <c r="B541" s="237"/>
      <c r="C541" s="237"/>
      <c r="D541" s="226"/>
      <c r="E541" s="226"/>
      <c r="F541" s="226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226"/>
      <c r="S541" s="226"/>
      <c r="T541" s="226"/>
      <c r="U541" s="226"/>
      <c r="V541" s="226"/>
      <c r="W541" s="226"/>
      <c r="X541" s="226"/>
      <c r="Y541" s="226"/>
      <c r="Z541" s="226"/>
    </row>
    <row r="542" spans="1:26" ht="16.5" customHeight="1">
      <c r="A542" s="237"/>
      <c r="B542" s="237"/>
      <c r="C542" s="237"/>
      <c r="D542" s="226"/>
      <c r="E542" s="226"/>
      <c r="F542" s="226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226"/>
      <c r="S542" s="226"/>
      <c r="T542" s="226"/>
      <c r="U542" s="226"/>
      <c r="V542" s="226"/>
      <c r="W542" s="226"/>
      <c r="X542" s="226"/>
      <c r="Y542" s="226"/>
      <c r="Z542" s="226"/>
    </row>
    <row r="543" spans="1:26" ht="16.5" customHeight="1">
      <c r="A543" s="237"/>
      <c r="B543" s="237"/>
      <c r="C543" s="237"/>
      <c r="D543" s="226"/>
      <c r="E543" s="226"/>
      <c r="F543" s="226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226"/>
      <c r="S543" s="226"/>
      <c r="T543" s="226"/>
      <c r="U543" s="226"/>
      <c r="V543" s="226"/>
      <c r="W543" s="226"/>
      <c r="X543" s="226"/>
      <c r="Y543" s="226"/>
      <c r="Z543" s="226"/>
    </row>
    <row r="544" spans="1:26" ht="16.5" customHeight="1">
      <c r="A544" s="237"/>
      <c r="B544" s="237"/>
      <c r="C544" s="237"/>
      <c r="D544" s="226"/>
      <c r="E544" s="226"/>
      <c r="F544" s="226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226"/>
      <c r="S544" s="226"/>
      <c r="T544" s="226"/>
      <c r="U544" s="226"/>
      <c r="V544" s="226"/>
      <c r="W544" s="226"/>
      <c r="X544" s="226"/>
      <c r="Y544" s="226"/>
      <c r="Z544" s="226"/>
    </row>
    <row r="545" spans="1:26" ht="16.5" customHeight="1">
      <c r="A545" s="237"/>
      <c r="B545" s="237"/>
      <c r="C545" s="237"/>
      <c r="D545" s="226"/>
      <c r="E545" s="226"/>
      <c r="F545" s="226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226"/>
      <c r="S545" s="226"/>
      <c r="T545" s="226"/>
      <c r="U545" s="226"/>
      <c r="V545" s="226"/>
      <c r="W545" s="226"/>
      <c r="X545" s="226"/>
      <c r="Y545" s="226"/>
      <c r="Z545" s="226"/>
    </row>
    <row r="546" spans="1:26" ht="16.5" customHeight="1">
      <c r="A546" s="237"/>
      <c r="B546" s="237"/>
      <c r="C546" s="237"/>
      <c r="D546" s="226"/>
      <c r="E546" s="226"/>
      <c r="F546" s="226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226"/>
      <c r="S546" s="226"/>
      <c r="T546" s="226"/>
      <c r="U546" s="226"/>
      <c r="V546" s="226"/>
      <c r="W546" s="226"/>
      <c r="X546" s="226"/>
      <c r="Y546" s="226"/>
      <c r="Z546" s="226"/>
    </row>
    <row r="547" spans="1:26" ht="16.5" customHeight="1">
      <c r="A547" s="237"/>
      <c r="B547" s="237"/>
      <c r="C547" s="237"/>
      <c r="D547" s="226"/>
      <c r="E547" s="226"/>
      <c r="F547" s="226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226"/>
      <c r="S547" s="226"/>
      <c r="T547" s="226"/>
      <c r="U547" s="226"/>
      <c r="V547" s="226"/>
      <c r="W547" s="226"/>
      <c r="X547" s="226"/>
      <c r="Y547" s="226"/>
      <c r="Z547" s="226"/>
    </row>
    <row r="548" spans="1:26" ht="16.5" customHeight="1">
      <c r="A548" s="237"/>
      <c r="B548" s="237"/>
      <c r="C548" s="237"/>
      <c r="D548" s="226"/>
      <c r="E548" s="226"/>
      <c r="F548" s="226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226"/>
      <c r="S548" s="226"/>
      <c r="T548" s="226"/>
      <c r="U548" s="226"/>
      <c r="V548" s="226"/>
      <c r="W548" s="226"/>
      <c r="X548" s="226"/>
      <c r="Y548" s="226"/>
      <c r="Z548" s="226"/>
    </row>
    <row r="549" spans="1:26" ht="16.5" customHeight="1">
      <c r="A549" s="237"/>
      <c r="B549" s="237"/>
      <c r="C549" s="237"/>
      <c r="D549" s="226"/>
      <c r="E549" s="226"/>
      <c r="F549" s="226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226"/>
      <c r="S549" s="226"/>
      <c r="T549" s="226"/>
      <c r="U549" s="226"/>
      <c r="V549" s="226"/>
      <c r="W549" s="226"/>
      <c r="X549" s="226"/>
      <c r="Y549" s="226"/>
      <c r="Z549" s="226"/>
    </row>
    <row r="550" spans="1:26" ht="16.5" customHeight="1">
      <c r="A550" s="237"/>
      <c r="B550" s="237"/>
      <c r="C550" s="237"/>
      <c r="D550" s="226"/>
      <c r="E550" s="226"/>
      <c r="F550" s="226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226"/>
      <c r="S550" s="226"/>
      <c r="T550" s="226"/>
      <c r="U550" s="226"/>
      <c r="V550" s="226"/>
      <c r="W550" s="226"/>
      <c r="X550" s="226"/>
      <c r="Y550" s="226"/>
      <c r="Z550" s="226"/>
    </row>
    <row r="551" spans="1:26" ht="16.5" customHeight="1">
      <c r="A551" s="237"/>
      <c r="B551" s="237"/>
      <c r="C551" s="237"/>
      <c r="D551" s="226"/>
      <c r="E551" s="226"/>
      <c r="F551" s="226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226"/>
      <c r="S551" s="226"/>
      <c r="T551" s="226"/>
      <c r="U551" s="226"/>
      <c r="V551" s="226"/>
      <c r="W551" s="226"/>
      <c r="X551" s="226"/>
      <c r="Y551" s="226"/>
      <c r="Z551" s="226"/>
    </row>
    <row r="552" spans="1:26" ht="16.5" customHeight="1">
      <c r="A552" s="237"/>
      <c r="B552" s="237"/>
      <c r="C552" s="237"/>
      <c r="D552" s="226"/>
      <c r="E552" s="226"/>
      <c r="F552" s="226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226"/>
      <c r="S552" s="226"/>
      <c r="T552" s="226"/>
      <c r="U552" s="226"/>
      <c r="V552" s="226"/>
      <c r="W552" s="226"/>
      <c r="X552" s="226"/>
      <c r="Y552" s="226"/>
      <c r="Z552" s="226"/>
    </row>
    <row r="553" spans="1:26" ht="16.5" customHeight="1">
      <c r="A553" s="237"/>
      <c r="B553" s="237"/>
      <c r="C553" s="237"/>
      <c r="D553" s="226"/>
      <c r="E553" s="226"/>
      <c r="F553" s="226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226"/>
      <c r="S553" s="226"/>
      <c r="T553" s="226"/>
      <c r="U553" s="226"/>
      <c r="V553" s="226"/>
      <c r="W553" s="226"/>
      <c r="X553" s="226"/>
      <c r="Y553" s="226"/>
      <c r="Z553" s="226"/>
    </row>
    <row r="554" spans="1:26" ht="16.5" customHeight="1">
      <c r="A554" s="237"/>
      <c r="B554" s="237"/>
      <c r="C554" s="237"/>
      <c r="D554" s="226"/>
      <c r="E554" s="226"/>
      <c r="F554" s="226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226"/>
      <c r="S554" s="226"/>
      <c r="T554" s="226"/>
      <c r="U554" s="226"/>
      <c r="V554" s="226"/>
      <c r="W554" s="226"/>
      <c r="X554" s="226"/>
      <c r="Y554" s="226"/>
      <c r="Z554" s="226"/>
    </row>
    <row r="555" spans="1:26" ht="16.5" customHeight="1">
      <c r="A555" s="237"/>
      <c r="B555" s="237"/>
      <c r="C555" s="237"/>
      <c r="D555" s="226"/>
      <c r="E555" s="226"/>
      <c r="F555" s="226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226"/>
      <c r="S555" s="226"/>
      <c r="T555" s="226"/>
      <c r="U555" s="226"/>
      <c r="V555" s="226"/>
      <c r="W555" s="226"/>
      <c r="X555" s="226"/>
      <c r="Y555" s="226"/>
      <c r="Z555" s="226"/>
    </row>
    <row r="556" spans="1:26" ht="16.5" customHeight="1">
      <c r="A556" s="237"/>
      <c r="B556" s="237"/>
      <c r="C556" s="237"/>
      <c r="D556" s="226"/>
      <c r="E556" s="226"/>
      <c r="F556" s="226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226"/>
      <c r="S556" s="226"/>
      <c r="T556" s="226"/>
      <c r="U556" s="226"/>
      <c r="V556" s="226"/>
      <c r="W556" s="226"/>
      <c r="X556" s="226"/>
      <c r="Y556" s="226"/>
      <c r="Z556" s="226"/>
    </row>
    <row r="557" spans="1:26" ht="16.5" customHeight="1">
      <c r="A557" s="237"/>
      <c r="B557" s="237"/>
      <c r="C557" s="237"/>
      <c r="D557" s="226"/>
      <c r="E557" s="226"/>
      <c r="F557" s="226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226"/>
      <c r="S557" s="226"/>
      <c r="T557" s="226"/>
      <c r="U557" s="226"/>
      <c r="V557" s="226"/>
      <c r="W557" s="226"/>
      <c r="X557" s="226"/>
      <c r="Y557" s="226"/>
      <c r="Z557" s="226"/>
    </row>
    <row r="558" spans="1:26" ht="16.5" customHeight="1">
      <c r="A558" s="237"/>
      <c r="B558" s="237"/>
      <c r="C558" s="237"/>
      <c r="D558" s="226"/>
      <c r="E558" s="226"/>
      <c r="F558" s="226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226"/>
      <c r="S558" s="226"/>
      <c r="T558" s="226"/>
      <c r="U558" s="226"/>
      <c r="V558" s="226"/>
      <c r="W558" s="226"/>
      <c r="X558" s="226"/>
      <c r="Y558" s="226"/>
      <c r="Z558" s="226"/>
    </row>
    <row r="559" spans="1:26" ht="16.5" customHeight="1">
      <c r="A559" s="237"/>
      <c r="B559" s="237"/>
      <c r="C559" s="237"/>
      <c r="D559" s="226"/>
      <c r="E559" s="226"/>
      <c r="F559" s="226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226"/>
      <c r="S559" s="226"/>
      <c r="T559" s="226"/>
      <c r="U559" s="226"/>
      <c r="V559" s="226"/>
      <c r="W559" s="226"/>
      <c r="X559" s="226"/>
      <c r="Y559" s="226"/>
      <c r="Z559" s="226"/>
    </row>
    <row r="560" spans="1:26" ht="16.5" customHeight="1">
      <c r="A560" s="237"/>
      <c r="B560" s="237"/>
      <c r="C560" s="237"/>
      <c r="D560" s="226"/>
      <c r="E560" s="226"/>
      <c r="F560" s="226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226"/>
      <c r="S560" s="226"/>
      <c r="T560" s="226"/>
      <c r="U560" s="226"/>
      <c r="V560" s="226"/>
      <c r="W560" s="226"/>
      <c r="X560" s="226"/>
      <c r="Y560" s="226"/>
      <c r="Z560" s="226"/>
    </row>
    <row r="561" spans="1:26" ht="16.5" customHeight="1">
      <c r="A561" s="237"/>
      <c r="B561" s="237"/>
      <c r="C561" s="237"/>
      <c r="D561" s="226"/>
      <c r="E561" s="226"/>
      <c r="F561" s="226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226"/>
      <c r="S561" s="226"/>
      <c r="T561" s="226"/>
      <c r="U561" s="226"/>
      <c r="V561" s="226"/>
      <c r="W561" s="226"/>
      <c r="X561" s="226"/>
      <c r="Y561" s="226"/>
      <c r="Z561" s="226"/>
    </row>
    <row r="562" spans="1:26" ht="16.5" customHeight="1">
      <c r="A562" s="237"/>
      <c r="B562" s="237"/>
      <c r="C562" s="237"/>
      <c r="D562" s="226"/>
      <c r="E562" s="226"/>
      <c r="F562" s="226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226"/>
      <c r="S562" s="226"/>
      <c r="T562" s="226"/>
      <c r="U562" s="226"/>
      <c r="V562" s="226"/>
      <c r="W562" s="226"/>
      <c r="X562" s="226"/>
      <c r="Y562" s="226"/>
      <c r="Z562" s="226"/>
    </row>
    <row r="563" spans="1:26" ht="16.5" customHeight="1">
      <c r="A563" s="237"/>
      <c r="B563" s="237"/>
      <c r="C563" s="237"/>
      <c r="D563" s="226"/>
      <c r="E563" s="226"/>
      <c r="F563" s="226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226"/>
      <c r="S563" s="226"/>
      <c r="T563" s="226"/>
      <c r="U563" s="226"/>
      <c r="V563" s="226"/>
      <c r="W563" s="226"/>
      <c r="X563" s="226"/>
      <c r="Y563" s="226"/>
      <c r="Z563" s="226"/>
    </row>
    <row r="564" spans="1:26" ht="16.5" customHeight="1">
      <c r="A564" s="237"/>
      <c r="B564" s="237"/>
      <c r="C564" s="237"/>
      <c r="D564" s="226"/>
      <c r="E564" s="226"/>
      <c r="F564" s="226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226"/>
      <c r="S564" s="226"/>
      <c r="T564" s="226"/>
      <c r="U564" s="226"/>
      <c r="V564" s="226"/>
      <c r="W564" s="226"/>
      <c r="X564" s="226"/>
      <c r="Y564" s="226"/>
      <c r="Z564" s="226"/>
    </row>
    <row r="565" spans="1:26" ht="16.5" customHeight="1">
      <c r="A565" s="237"/>
      <c r="B565" s="237"/>
      <c r="C565" s="237"/>
      <c r="D565" s="226"/>
      <c r="E565" s="226"/>
      <c r="F565" s="226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226"/>
      <c r="S565" s="226"/>
      <c r="T565" s="226"/>
      <c r="U565" s="226"/>
      <c r="V565" s="226"/>
      <c r="W565" s="226"/>
      <c r="X565" s="226"/>
      <c r="Y565" s="226"/>
      <c r="Z565" s="226"/>
    </row>
    <row r="566" spans="1:26" ht="16.5" customHeight="1">
      <c r="A566" s="237"/>
      <c r="B566" s="237"/>
      <c r="C566" s="237"/>
      <c r="D566" s="226"/>
      <c r="E566" s="226"/>
      <c r="F566" s="226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226"/>
      <c r="S566" s="226"/>
      <c r="T566" s="226"/>
      <c r="U566" s="226"/>
      <c r="V566" s="226"/>
      <c r="W566" s="226"/>
      <c r="X566" s="226"/>
      <c r="Y566" s="226"/>
      <c r="Z566" s="226"/>
    </row>
    <row r="567" spans="1:26" ht="16.5" customHeight="1">
      <c r="A567" s="237"/>
      <c r="B567" s="237"/>
      <c r="C567" s="237"/>
      <c r="D567" s="226"/>
      <c r="E567" s="226"/>
      <c r="F567" s="226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226"/>
      <c r="S567" s="226"/>
      <c r="T567" s="226"/>
      <c r="U567" s="226"/>
      <c r="V567" s="226"/>
      <c r="W567" s="226"/>
      <c r="X567" s="226"/>
      <c r="Y567" s="226"/>
      <c r="Z567" s="226"/>
    </row>
    <row r="568" spans="1:26" ht="16.5" customHeight="1">
      <c r="A568" s="237"/>
      <c r="B568" s="237"/>
      <c r="C568" s="237"/>
      <c r="D568" s="226"/>
      <c r="E568" s="226"/>
      <c r="F568" s="226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226"/>
      <c r="S568" s="226"/>
      <c r="T568" s="226"/>
      <c r="U568" s="226"/>
      <c r="V568" s="226"/>
      <c r="W568" s="226"/>
      <c r="X568" s="226"/>
      <c r="Y568" s="226"/>
      <c r="Z568" s="226"/>
    </row>
    <row r="569" spans="1:26" ht="16.5" customHeight="1">
      <c r="A569" s="237"/>
      <c r="B569" s="237"/>
      <c r="C569" s="237"/>
      <c r="D569" s="226"/>
      <c r="E569" s="226"/>
      <c r="F569" s="226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226"/>
      <c r="S569" s="226"/>
      <c r="T569" s="226"/>
      <c r="U569" s="226"/>
      <c r="V569" s="226"/>
      <c r="W569" s="226"/>
      <c r="X569" s="226"/>
      <c r="Y569" s="226"/>
      <c r="Z569" s="226"/>
    </row>
    <row r="570" spans="1:26" ht="16.5" customHeight="1">
      <c r="A570" s="237"/>
      <c r="B570" s="237"/>
      <c r="C570" s="237"/>
      <c r="D570" s="226"/>
      <c r="E570" s="226"/>
      <c r="F570" s="226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226"/>
      <c r="S570" s="226"/>
      <c r="T570" s="226"/>
      <c r="U570" s="226"/>
      <c r="V570" s="226"/>
      <c r="W570" s="226"/>
      <c r="X570" s="226"/>
      <c r="Y570" s="226"/>
      <c r="Z570" s="226"/>
    </row>
    <row r="571" spans="1:26" ht="16.5" customHeight="1">
      <c r="A571" s="237"/>
      <c r="B571" s="237"/>
      <c r="C571" s="237"/>
      <c r="D571" s="226"/>
      <c r="E571" s="226"/>
      <c r="F571" s="226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226"/>
      <c r="S571" s="226"/>
      <c r="T571" s="226"/>
      <c r="U571" s="226"/>
      <c r="V571" s="226"/>
      <c r="W571" s="226"/>
      <c r="X571" s="226"/>
      <c r="Y571" s="226"/>
      <c r="Z571" s="226"/>
    </row>
    <row r="572" spans="1:26" ht="16.5" customHeight="1">
      <c r="A572" s="237"/>
      <c r="B572" s="237"/>
      <c r="C572" s="237"/>
      <c r="D572" s="226"/>
      <c r="E572" s="226"/>
      <c r="F572" s="226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226"/>
      <c r="S572" s="226"/>
      <c r="T572" s="226"/>
      <c r="U572" s="226"/>
      <c r="V572" s="226"/>
      <c r="W572" s="226"/>
      <c r="X572" s="226"/>
      <c r="Y572" s="226"/>
      <c r="Z572" s="226"/>
    </row>
    <row r="573" spans="1:26" ht="16.5" customHeight="1">
      <c r="A573" s="237"/>
      <c r="B573" s="237"/>
      <c r="C573" s="237"/>
      <c r="D573" s="226"/>
      <c r="E573" s="226"/>
      <c r="F573" s="226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226"/>
      <c r="S573" s="226"/>
      <c r="T573" s="226"/>
      <c r="U573" s="226"/>
      <c r="V573" s="226"/>
      <c r="W573" s="226"/>
      <c r="X573" s="226"/>
      <c r="Y573" s="226"/>
      <c r="Z573" s="226"/>
    </row>
    <row r="574" spans="1:26" ht="16.5" customHeight="1">
      <c r="A574" s="237"/>
      <c r="B574" s="237"/>
      <c r="C574" s="237"/>
      <c r="D574" s="226"/>
      <c r="E574" s="226"/>
      <c r="F574" s="226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226"/>
      <c r="S574" s="226"/>
      <c r="T574" s="226"/>
      <c r="U574" s="226"/>
      <c r="V574" s="226"/>
      <c r="W574" s="226"/>
      <c r="X574" s="226"/>
      <c r="Y574" s="226"/>
      <c r="Z574" s="226"/>
    </row>
    <row r="575" spans="1:26" ht="16.5" customHeight="1">
      <c r="A575" s="237"/>
      <c r="B575" s="237"/>
      <c r="C575" s="237"/>
      <c r="D575" s="226"/>
      <c r="E575" s="226"/>
      <c r="F575" s="226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226"/>
      <c r="S575" s="226"/>
      <c r="T575" s="226"/>
      <c r="U575" s="226"/>
      <c r="V575" s="226"/>
      <c r="W575" s="226"/>
      <c r="X575" s="226"/>
      <c r="Y575" s="226"/>
      <c r="Z575" s="226"/>
    </row>
    <row r="576" spans="1:26" ht="16.5" customHeight="1">
      <c r="A576" s="237"/>
      <c r="B576" s="237"/>
      <c r="C576" s="237"/>
      <c r="D576" s="226"/>
      <c r="E576" s="226"/>
      <c r="F576" s="226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226"/>
      <c r="S576" s="226"/>
      <c r="T576" s="226"/>
      <c r="U576" s="226"/>
      <c r="V576" s="226"/>
      <c r="W576" s="226"/>
      <c r="X576" s="226"/>
      <c r="Y576" s="226"/>
      <c r="Z576" s="226"/>
    </row>
    <row r="577" spans="1:26" ht="16.5" customHeight="1">
      <c r="A577" s="237"/>
      <c r="B577" s="237"/>
      <c r="C577" s="237"/>
      <c r="D577" s="226"/>
      <c r="E577" s="226"/>
      <c r="F577" s="226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226"/>
      <c r="S577" s="226"/>
      <c r="T577" s="226"/>
      <c r="U577" s="226"/>
      <c r="V577" s="226"/>
      <c r="W577" s="226"/>
      <c r="X577" s="226"/>
      <c r="Y577" s="226"/>
      <c r="Z577" s="226"/>
    </row>
    <row r="578" spans="1:26" ht="16.5" customHeight="1">
      <c r="A578" s="237"/>
      <c r="B578" s="237"/>
      <c r="C578" s="237"/>
      <c r="D578" s="226"/>
      <c r="E578" s="226"/>
      <c r="F578" s="226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226"/>
      <c r="S578" s="226"/>
      <c r="T578" s="226"/>
      <c r="U578" s="226"/>
      <c r="V578" s="226"/>
      <c r="W578" s="226"/>
      <c r="X578" s="226"/>
      <c r="Y578" s="226"/>
      <c r="Z578" s="226"/>
    </row>
    <row r="579" spans="1:26" ht="16.5" customHeight="1">
      <c r="A579" s="237"/>
      <c r="B579" s="237"/>
      <c r="C579" s="237"/>
      <c r="D579" s="226"/>
      <c r="E579" s="226"/>
      <c r="F579" s="226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226"/>
      <c r="S579" s="226"/>
      <c r="T579" s="226"/>
      <c r="U579" s="226"/>
      <c r="V579" s="226"/>
      <c r="W579" s="226"/>
      <c r="X579" s="226"/>
      <c r="Y579" s="226"/>
      <c r="Z579" s="226"/>
    </row>
    <row r="580" spans="1:26" ht="16.5" customHeight="1">
      <c r="A580" s="237"/>
      <c r="B580" s="237"/>
      <c r="C580" s="237"/>
      <c r="D580" s="226"/>
      <c r="E580" s="226"/>
      <c r="F580" s="226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226"/>
      <c r="S580" s="226"/>
      <c r="T580" s="226"/>
      <c r="U580" s="226"/>
      <c r="V580" s="226"/>
      <c r="W580" s="226"/>
      <c r="X580" s="226"/>
      <c r="Y580" s="226"/>
      <c r="Z580" s="226"/>
    </row>
    <row r="581" spans="1:26" ht="16.5" customHeight="1">
      <c r="A581" s="237"/>
      <c r="B581" s="237"/>
      <c r="C581" s="237"/>
      <c r="D581" s="226"/>
      <c r="E581" s="226"/>
      <c r="F581" s="226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226"/>
      <c r="S581" s="226"/>
      <c r="T581" s="226"/>
      <c r="U581" s="226"/>
      <c r="V581" s="226"/>
      <c r="W581" s="226"/>
      <c r="X581" s="226"/>
      <c r="Y581" s="226"/>
      <c r="Z581" s="226"/>
    </row>
    <row r="582" spans="1:26" ht="16.5" customHeight="1">
      <c r="A582" s="237"/>
      <c r="B582" s="237"/>
      <c r="C582" s="237"/>
      <c r="D582" s="226"/>
      <c r="E582" s="226"/>
      <c r="F582" s="226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226"/>
      <c r="S582" s="226"/>
      <c r="T582" s="226"/>
      <c r="U582" s="226"/>
      <c r="V582" s="226"/>
      <c r="W582" s="226"/>
      <c r="X582" s="226"/>
      <c r="Y582" s="226"/>
      <c r="Z582" s="226"/>
    </row>
    <row r="583" spans="1:26" ht="16.5" customHeight="1">
      <c r="A583" s="237"/>
      <c r="B583" s="237"/>
      <c r="C583" s="237"/>
      <c r="D583" s="226"/>
      <c r="E583" s="226"/>
      <c r="F583" s="226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226"/>
      <c r="S583" s="226"/>
      <c r="T583" s="226"/>
      <c r="U583" s="226"/>
      <c r="V583" s="226"/>
      <c r="W583" s="226"/>
      <c r="X583" s="226"/>
      <c r="Y583" s="226"/>
      <c r="Z583" s="226"/>
    </row>
    <row r="584" spans="1:26" ht="16.5" customHeight="1">
      <c r="A584" s="237"/>
      <c r="B584" s="237"/>
      <c r="C584" s="237"/>
      <c r="D584" s="226"/>
      <c r="E584" s="226"/>
      <c r="F584" s="226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226"/>
      <c r="S584" s="226"/>
      <c r="T584" s="226"/>
      <c r="U584" s="226"/>
      <c r="V584" s="226"/>
      <c r="W584" s="226"/>
      <c r="X584" s="226"/>
      <c r="Y584" s="226"/>
      <c r="Z584" s="226"/>
    </row>
    <row r="585" spans="1:26" ht="16.5" customHeight="1">
      <c r="A585" s="237"/>
      <c r="B585" s="237"/>
      <c r="C585" s="237"/>
      <c r="D585" s="226"/>
      <c r="E585" s="226"/>
      <c r="F585" s="226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226"/>
      <c r="S585" s="226"/>
      <c r="T585" s="226"/>
      <c r="U585" s="226"/>
      <c r="V585" s="226"/>
      <c r="W585" s="226"/>
      <c r="X585" s="226"/>
      <c r="Y585" s="226"/>
      <c r="Z585" s="226"/>
    </row>
    <row r="586" spans="1:26" ht="16.5" customHeight="1">
      <c r="A586" s="237"/>
      <c r="B586" s="237"/>
      <c r="C586" s="237"/>
      <c r="D586" s="226"/>
      <c r="E586" s="226"/>
      <c r="F586" s="226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226"/>
      <c r="S586" s="226"/>
      <c r="T586" s="226"/>
      <c r="U586" s="226"/>
      <c r="V586" s="226"/>
      <c r="W586" s="226"/>
      <c r="X586" s="226"/>
      <c r="Y586" s="226"/>
      <c r="Z586" s="226"/>
    </row>
    <row r="587" spans="1:26" ht="16.5" customHeight="1">
      <c r="A587" s="237"/>
      <c r="B587" s="237"/>
      <c r="C587" s="237"/>
      <c r="D587" s="226"/>
      <c r="E587" s="226"/>
      <c r="F587" s="226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226"/>
      <c r="S587" s="226"/>
      <c r="T587" s="226"/>
      <c r="U587" s="226"/>
      <c r="V587" s="226"/>
      <c r="W587" s="226"/>
      <c r="X587" s="226"/>
      <c r="Y587" s="226"/>
      <c r="Z587" s="226"/>
    </row>
    <row r="588" spans="1:26" ht="16.5" customHeight="1">
      <c r="A588" s="237"/>
      <c r="B588" s="237"/>
      <c r="C588" s="237"/>
      <c r="D588" s="226"/>
      <c r="E588" s="226"/>
      <c r="F588" s="226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226"/>
      <c r="S588" s="226"/>
      <c r="T588" s="226"/>
      <c r="U588" s="226"/>
      <c r="V588" s="226"/>
      <c r="W588" s="226"/>
      <c r="X588" s="226"/>
      <c r="Y588" s="226"/>
      <c r="Z588" s="226"/>
    </row>
    <row r="589" spans="1:26" ht="16.5" customHeight="1">
      <c r="A589" s="237"/>
      <c r="B589" s="237"/>
      <c r="C589" s="237"/>
      <c r="D589" s="226"/>
      <c r="E589" s="226"/>
      <c r="F589" s="226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226"/>
      <c r="S589" s="226"/>
      <c r="T589" s="226"/>
      <c r="U589" s="226"/>
      <c r="V589" s="226"/>
      <c r="W589" s="226"/>
      <c r="X589" s="226"/>
      <c r="Y589" s="226"/>
      <c r="Z589" s="226"/>
    </row>
    <row r="590" spans="1:26" ht="16.5" customHeight="1">
      <c r="A590" s="237"/>
      <c r="B590" s="237"/>
      <c r="C590" s="237"/>
      <c r="D590" s="226"/>
      <c r="E590" s="226"/>
      <c r="F590" s="226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226"/>
      <c r="S590" s="226"/>
      <c r="T590" s="226"/>
      <c r="U590" s="226"/>
      <c r="V590" s="226"/>
      <c r="W590" s="226"/>
      <c r="X590" s="226"/>
      <c r="Y590" s="226"/>
      <c r="Z590" s="226"/>
    </row>
    <row r="591" spans="1:26" ht="16.5" customHeight="1">
      <c r="A591" s="237"/>
      <c r="B591" s="237"/>
      <c r="C591" s="237"/>
      <c r="D591" s="226"/>
      <c r="E591" s="226"/>
      <c r="F591" s="226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226"/>
      <c r="S591" s="226"/>
      <c r="T591" s="226"/>
      <c r="U591" s="226"/>
      <c r="V591" s="226"/>
      <c r="W591" s="226"/>
      <c r="X591" s="226"/>
      <c r="Y591" s="226"/>
      <c r="Z591" s="226"/>
    </row>
    <row r="592" spans="1:26" ht="16.5" customHeight="1">
      <c r="A592" s="237"/>
      <c r="B592" s="237"/>
      <c r="C592" s="237"/>
      <c r="D592" s="226"/>
      <c r="E592" s="226"/>
      <c r="F592" s="226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226"/>
      <c r="S592" s="226"/>
      <c r="T592" s="226"/>
      <c r="U592" s="226"/>
      <c r="V592" s="226"/>
      <c r="W592" s="226"/>
      <c r="X592" s="226"/>
      <c r="Y592" s="226"/>
      <c r="Z592" s="226"/>
    </row>
    <row r="593" spans="1:26" ht="16.5" customHeight="1">
      <c r="A593" s="237"/>
      <c r="B593" s="237"/>
      <c r="C593" s="237"/>
      <c r="D593" s="226"/>
      <c r="E593" s="226"/>
      <c r="F593" s="226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226"/>
      <c r="S593" s="226"/>
      <c r="T593" s="226"/>
      <c r="U593" s="226"/>
      <c r="V593" s="226"/>
      <c r="W593" s="226"/>
      <c r="X593" s="226"/>
      <c r="Y593" s="226"/>
      <c r="Z593" s="226"/>
    </row>
    <row r="594" spans="1:26" ht="16.5" customHeight="1">
      <c r="A594" s="237"/>
      <c r="B594" s="237"/>
      <c r="C594" s="237"/>
      <c r="D594" s="226"/>
      <c r="E594" s="226"/>
      <c r="F594" s="226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226"/>
      <c r="S594" s="226"/>
      <c r="T594" s="226"/>
      <c r="U594" s="226"/>
      <c r="V594" s="226"/>
      <c r="W594" s="226"/>
      <c r="X594" s="226"/>
      <c r="Y594" s="226"/>
      <c r="Z594" s="226"/>
    </row>
    <row r="595" spans="1:26" ht="16.5" customHeight="1">
      <c r="A595" s="237"/>
      <c r="B595" s="237"/>
      <c r="C595" s="237"/>
      <c r="D595" s="226"/>
      <c r="E595" s="226"/>
      <c r="F595" s="226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226"/>
      <c r="S595" s="226"/>
      <c r="T595" s="226"/>
      <c r="U595" s="226"/>
      <c r="V595" s="226"/>
      <c r="W595" s="226"/>
      <c r="X595" s="226"/>
      <c r="Y595" s="226"/>
      <c r="Z595" s="226"/>
    </row>
    <row r="596" spans="1:26" ht="16.5" customHeight="1">
      <c r="A596" s="237"/>
      <c r="B596" s="237"/>
      <c r="C596" s="237"/>
      <c r="D596" s="226"/>
      <c r="E596" s="226"/>
      <c r="F596" s="226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226"/>
      <c r="S596" s="226"/>
      <c r="T596" s="226"/>
      <c r="U596" s="226"/>
      <c r="V596" s="226"/>
      <c r="W596" s="226"/>
      <c r="X596" s="226"/>
      <c r="Y596" s="226"/>
      <c r="Z596" s="226"/>
    </row>
    <row r="597" spans="1:26" ht="16.5" customHeight="1">
      <c r="A597" s="237"/>
      <c r="B597" s="237"/>
      <c r="C597" s="237"/>
      <c r="D597" s="226"/>
      <c r="E597" s="226"/>
      <c r="F597" s="226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226"/>
      <c r="S597" s="226"/>
      <c r="T597" s="226"/>
      <c r="U597" s="226"/>
      <c r="V597" s="226"/>
      <c r="W597" s="226"/>
      <c r="X597" s="226"/>
      <c r="Y597" s="226"/>
      <c r="Z597" s="226"/>
    </row>
    <row r="598" spans="1:26" ht="16.5" customHeight="1">
      <c r="A598" s="237"/>
      <c r="B598" s="237"/>
      <c r="C598" s="237"/>
      <c r="D598" s="226"/>
      <c r="E598" s="226"/>
      <c r="F598" s="226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226"/>
      <c r="S598" s="226"/>
      <c r="T598" s="226"/>
      <c r="U598" s="226"/>
      <c r="V598" s="226"/>
      <c r="W598" s="226"/>
      <c r="X598" s="226"/>
      <c r="Y598" s="226"/>
      <c r="Z598" s="226"/>
    </row>
    <row r="599" spans="1:26" ht="16.5" customHeight="1">
      <c r="A599" s="237"/>
      <c r="B599" s="237"/>
      <c r="C599" s="237"/>
      <c r="D599" s="226"/>
      <c r="E599" s="226"/>
      <c r="F599" s="226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226"/>
      <c r="S599" s="226"/>
      <c r="T599" s="226"/>
      <c r="U599" s="226"/>
      <c r="V599" s="226"/>
      <c r="W599" s="226"/>
      <c r="X599" s="226"/>
      <c r="Y599" s="226"/>
      <c r="Z599" s="226"/>
    </row>
    <row r="600" spans="1:26" ht="16.5" customHeight="1">
      <c r="A600" s="237"/>
      <c r="B600" s="237"/>
      <c r="C600" s="237"/>
      <c r="D600" s="226"/>
      <c r="E600" s="226"/>
      <c r="F600" s="226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226"/>
      <c r="S600" s="226"/>
      <c r="T600" s="226"/>
      <c r="U600" s="226"/>
      <c r="V600" s="226"/>
      <c r="W600" s="226"/>
      <c r="X600" s="226"/>
      <c r="Y600" s="226"/>
      <c r="Z600" s="226"/>
    </row>
    <row r="601" spans="1:26" ht="16.5" customHeight="1">
      <c r="A601" s="237"/>
      <c r="B601" s="237"/>
      <c r="C601" s="237"/>
      <c r="D601" s="226"/>
      <c r="E601" s="226"/>
      <c r="F601" s="226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226"/>
      <c r="S601" s="226"/>
      <c r="T601" s="226"/>
      <c r="U601" s="226"/>
      <c r="V601" s="226"/>
      <c r="W601" s="226"/>
      <c r="X601" s="226"/>
      <c r="Y601" s="226"/>
      <c r="Z601" s="226"/>
    </row>
    <row r="602" spans="1:26" ht="16.5" customHeight="1">
      <c r="A602" s="237"/>
      <c r="B602" s="237"/>
      <c r="C602" s="237"/>
      <c r="D602" s="226"/>
      <c r="E602" s="226"/>
      <c r="F602" s="226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226"/>
      <c r="S602" s="226"/>
      <c r="T602" s="226"/>
      <c r="U602" s="226"/>
      <c r="V602" s="226"/>
      <c r="W602" s="226"/>
      <c r="X602" s="226"/>
      <c r="Y602" s="226"/>
      <c r="Z602" s="226"/>
    </row>
    <row r="603" spans="1:26" ht="16.5" customHeight="1">
      <c r="A603" s="237"/>
      <c r="B603" s="237"/>
      <c r="C603" s="237"/>
      <c r="D603" s="226"/>
      <c r="E603" s="226"/>
      <c r="F603" s="226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226"/>
      <c r="S603" s="226"/>
      <c r="T603" s="226"/>
      <c r="U603" s="226"/>
      <c r="V603" s="226"/>
      <c r="W603" s="226"/>
      <c r="X603" s="226"/>
      <c r="Y603" s="226"/>
      <c r="Z603" s="226"/>
    </row>
    <row r="604" spans="1:26" ht="16.5" customHeight="1">
      <c r="A604" s="237"/>
      <c r="B604" s="237"/>
      <c r="C604" s="237"/>
      <c r="D604" s="226"/>
      <c r="E604" s="226"/>
      <c r="F604" s="226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226"/>
      <c r="S604" s="226"/>
      <c r="T604" s="226"/>
      <c r="U604" s="226"/>
      <c r="V604" s="226"/>
      <c r="W604" s="226"/>
      <c r="X604" s="226"/>
      <c r="Y604" s="226"/>
      <c r="Z604" s="226"/>
    </row>
    <row r="605" spans="1:26" ht="16.5" customHeight="1">
      <c r="A605" s="237"/>
      <c r="B605" s="237"/>
      <c r="C605" s="237"/>
      <c r="D605" s="226"/>
      <c r="E605" s="226"/>
      <c r="F605" s="226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226"/>
      <c r="S605" s="226"/>
      <c r="T605" s="226"/>
      <c r="U605" s="226"/>
      <c r="V605" s="226"/>
      <c r="W605" s="226"/>
      <c r="X605" s="226"/>
      <c r="Y605" s="226"/>
      <c r="Z605" s="226"/>
    </row>
    <row r="606" spans="1:26" ht="16.5" customHeight="1">
      <c r="A606" s="237"/>
      <c r="B606" s="237"/>
      <c r="C606" s="237"/>
      <c r="D606" s="226"/>
      <c r="E606" s="226"/>
      <c r="F606" s="226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226"/>
      <c r="S606" s="226"/>
      <c r="T606" s="226"/>
      <c r="U606" s="226"/>
      <c r="V606" s="226"/>
      <c r="W606" s="226"/>
      <c r="X606" s="226"/>
      <c r="Y606" s="226"/>
      <c r="Z606" s="226"/>
    </row>
    <row r="607" spans="1:26" ht="16.5" customHeight="1">
      <c r="A607" s="237"/>
      <c r="B607" s="237"/>
      <c r="C607" s="237"/>
      <c r="D607" s="226"/>
      <c r="E607" s="226"/>
      <c r="F607" s="226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226"/>
      <c r="S607" s="226"/>
      <c r="T607" s="226"/>
      <c r="U607" s="226"/>
      <c r="V607" s="226"/>
      <c r="W607" s="226"/>
      <c r="X607" s="226"/>
      <c r="Y607" s="226"/>
      <c r="Z607" s="226"/>
    </row>
    <row r="608" spans="1:26" ht="16.5" customHeight="1">
      <c r="A608" s="237"/>
      <c r="B608" s="237"/>
      <c r="C608" s="237"/>
      <c r="D608" s="226"/>
      <c r="E608" s="226"/>
      <c r="F608" s="226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226"/>
      <c r="S608" s="226"/>
      <c r="T608" s="226"/>
      <c r="U608" s="226"/>
      <c r="V608" s="226"/>
      <c r="W608" s="226"/>
      <c r="X608" s="226"/>
      <c r="Y608" s="226"/>
      <c r="Z608" s="226"/>
    </row>
    <row r="609" spans="1:26" ht="16.5" customHeight="1">
      <c r="A609" s="237"/>
      <c r="B609" s="237"/>
      <c r="C609" s="237"/>
      <c r="D609" s="226"/>
      <c r="E609" s="226"/>
      <c r="F609" s="226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226"/>
      <c r="S609" s="226"/>
      <c r="T609" s="226"/>
      <c r="U609" s="226"/>
      <c r="V609" s="226"/>
      <c r="W609" s="226"/>
      <c r="X609" s="226"/>
      <c r="Y609" s="226"/>
      <c r="Z609" s="226"/>
    </row>
    <row r="610" spans="1:26" ht="16.5" customHeight="1">
      <c r="A610" s="237"/>
      <c r="B610" s="237"/>
      <c r="C610" s="237"/>
      <c r="D610" s="226"/>
      <c r="E610" s="226"/>
      <c r="F610" s="226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226"/>
      <c r="S610" s="226"/>
      <c r="T610" s="226"/>
      <c r="U610" s="226"/>
      <c r="V610" s="226"/>
      <c r="W610" s="226"/>
      <c r="X610" s="226"/>
      <c r="Y610" s="226"/>
      <c r="Z610" s="226"/>
    </row>
    <row r="611" spans="1:26" ht="16.5" customHeight="1">
      <c r="A611" s="237"/>
      <c r="B611" s="237"/>
      <c r="C611" s="237"/>
      <c r="D611" s="226"/>
      <c r="E611" s="226"/>
      <c r="F611" s="226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226"/>
      <c r="S611" s="226"/>
      <c r="T611" s="226"/>
      <c r="U611" s="226"/>
      <c r="V611" s="226"/>
      <c r="W611" s="226"/>
      <c r="X611" s="226"/>
      <c r="Y611" s="226"/>
      <c r="Z611" s="226"/>
    </row>
    <row r="612" spans="1:26" ht="16.5" customHeight="1">
      <c r="A612" s="237"/>
      <c r="B612" s="237"/>
      <c r="C612" s="237"/>
      <c r="D612" s="226"/>
      <c r="E612" s="226"/>
      <c r="F612" s="226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226"/>
      <c r="S612" s="226"/>
      <c r="T612" s="226"/>
      <c r="U612" s="226"/>
      <c r="V612" s="226"/>
      <c r="W612" s="226"/>
      <c r="X612" s="226"/>
      <c r="Y612" s="226"/>
      <c r="Z612" s="226"/>
    </row>
    <row r="613" spans="1:26" ht="16.5" customHeight="1">
      <c r="A613" s="237"/>
      <c r="B613" s="237"/>
      <c r="C613" s="237"/>
      <c r="D613" s="226"/>
      <c r="E613" s="226"/>
      <c r="F613" s="226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226"/>
      <c r="S613" s="226"/>
      <c r="T613" s="226"/>
      <c r="U613" s="226"/>
      <c r="V613" s="226"/>
      <c r="W613" s="226"/>
      <c r="X613" s="226"/>
      <c r="Y613" s="226"/>
      <c r="Z613" s="226"/>
    </row>
    <row r="614" spans="1:26" ht="16.5" customHeight="1">
      <c r="A614" s="237"/>
      <c r="B614" s="237"/>
      <c r="C614" s="237"/>
      <c r="D614" s="226"/>
      <c r="E614" s="226"/>
      <c r="F614" s="226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226"/>
      <c r="S614" s="226"/>
      <c r="T614" s="226"/>
      <c r="U614" s="226"/>
      <c r="V614" s="226"/>
      <c r="W614" s="226"/>
      <c r="X614" s="226"/>
      <c r="Y614" s="226"/>
      <c r="Z614" s="226"/>
    </row>
    <row r="615" spans="1:26" ht="16.5" customHeight="1">
      <c r="A615" s="237"/>
      <c r="B615" s="237"/>
      <c r="C615" s="237"/>
      <c r="D615" s="226"/>
      <c r="E615" s="226"/>
      <c r="F615" s="226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226"/>
      <c r="S615" s="226"/>
      <c r="T615" s="226"/>
      <c r="U615" s="226"/>
      <c r="V615" s="226"/>
      <c r="W615" s="226"/>
      <c r="X615" s="226"/>
      <c r="Y615" s="226"/>
      <c r="Z615" s="226"/>
    </row>
    <row r="616" spans="1:26" ht="16.5" customHeight="1">
      <c r="A616" s="237"/>
      <c r="B616" s="237"/>
      <c r="C616" s="237"/>
      <c r="D616" s="226"/>
      <c r="E616" s="226"/>
      <c r="F616" s="226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226"/>
      <c r="S616" s="226"/>
      <c r="T616" s="226"/>
      <c r="U616" s="226"/>
      <c r="V616" s="226"/>
      <c r="W616" s="226"/>
      <c r="X616" s="226"/>
      <c r="Y616" s="226"/>
      <c r="Z616" s="226"/>
    </row>
    <row r="617" spans="1:26" ht="16.5" customHeight="1">
      <c r="A617" s="237"/>
      <c r="B617" s="237"/>
      <c r="C617" s="237"/>
      <c r="D617" s="226"/>
      <c r="E617" s="226"/>
      <c r="F617" s="226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226"/>
      <c r="S617" s="226"/>
      <c r="T617" s="226"/>
      <c r="U617" s="226"/>
      <c r="V617" s="226"/>
      <c r="W617" s="226"/>
      <c r="X617" s="226"/>
      <c r="Y617" s="226"/>
      <c r="Z617" s="226"/>
    </row>
    <row r="618" spans="1:26" ht="16.5" customHeight="1">
      <c r="A618" s="237"/>
      <c r="B618" s="237"/>
      <c r="C618" s="237"/>
      <c r="D618" s="226"/>
      <c r="E618" s="226"/>
      <c r="F618" s="226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226"/>
      <c r="S618" s="226"/>
      <c r="T618" s="226"/>
      <c r="U618" s="226"/>
      <c r="V618" s="226"/>
      <c r="W618" s="226"/>
      <c r="X618" s="226"/>
      <c r="Y618" s="226"/>
      <c r="Z618" s="226"/>
    </row>
    <row r="619" spans="1:26" ht="16.5" customHeight="1">
      <c r="A619" s="237"/>
      <c r="B619" s="237"/>
      <c r="C619" s="237"/>
      <c r="D619" s="226"/>
      <c r="E619" s="226"/>
      <c r="F619" s="226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226"/>
      <c r="S619" s="226"/>
      <c r="T619" s="226"/>
      <c r="U619" s="226"/>
      <c r="V619" s="226"/>
      <c r="W619" s="226"/>
      <c r="X619" s="226"/>
      <c r="Y619" s="226"/>
      <c r="Z619" s="226"/>
    </row>
    <row r="620" spans="1:26" ht="16.5" customHeight="1">
      <c r="A620" s="237"/>
      <c r="B620" s="237"/>
      <c r="C620" s="237"/>
      <c r="D620" s="226"/>
      <c r="E620" s="226"/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  <c r="T620" s="226"/>
      <c r="U620" s="226"/>
      <c r="V620" s="226"/>
      <c r="W620" s="226"/>
      <c r="X620" s="226"/>
      <c r="Y620" s="226"/>
      <c r="Z620" s="226"/>
    </row>
    <row r="621" spans="1:26" ht="16.5" customHeight="1">
      <c r="A621" s="237"/>
      <c r="B621" s="237"/>
      <c r="C621" s="237"/>
      <c r="D621" s="226"/>
      <c r="E621" s="226"/>
      <c r="F621" s="226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226"/>
      <c r="S621" s="226"/>
      <c r="T621" s="226"/>
      <c r="U621" s="226"/>
      <c r="V621" s="226"/>
      <c r="W621" s="226"/>
      <c r="X621" s="226"/>
      <c r="Y621" s="226"/>
      <c r="Z621" s="226"/>
    </row>
    <row r="622" spans="1:26" ht="16.5" customHeight="1">
      <c r="A622" s="237"/>
      <c r="B622" s="237"/>
      <c r="C622" s="237"/>
      <c r="D622" s="226"/>
      <c r="E622" s="226"/>
      <c r="F622" s="226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226"/>
      <c r="S622" s="226"/>
      <c r="T622" s="226"/>
      <c r="U622" s="226"/>
      <c r="V622" s="226"/>
      <c r="W622" s="226"/>
      <c r="X622" s="226"/>
      <c r="Y622" s="226"/>
      <c r="Z622" s="226"/>
    </row>
    <row r="623" spans="1:26" ht="16.5" customHeight="1">
      <c r="A623" s="237"/>
      <c r="B623" s="237"/>
      <c r="C623" s="237"/>
      <c r="D623" s="226"/>
      <c r="E623" s="226"/>
      <c r="F623" s="226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226"/>
      <c r="S623" s="226"/>
      <c r="T623" s="226"/>
      <c r="U623" s="226"/>
      <c r="V623" s="226"/>
      <c r="W623" s="226"/>
      <c r="X623" s="226"/>
      <c r="Y623" s="226"/>
      <c r="Z623" s="226"/>
    </row>
    <row r="624" spans="1:26" ht="16.5" customHeight="1">
      <c r="A624" s="237"/>
      <c r="B624" s="237"/>
      <c r="C624" s="237"/>
      <c r="D624" s="226"/>
      <c r="E624" s="226"/>
      <c r="F624" s="226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226"/>
      <c r="S624" s="226"/>
      <c r="T624" s="226"/>
      <c r="U624" s="226"/>
      <c r="V624" s="226"/>
      <c r="W624" s="226"/>
      <c r="X624" s="226"/>
      <c r="Y624" s="226"/>
      <c r="Z624" s="226"/>
    </row>
    <row r="625" spans="1:26" ht="16.5" customHeight="1">
      <c r="A625" s="237"/>
      <c r="B625" s="237"/>
      <c r="C625" s="237"/>
      <c r="D625" s="226"/>
      <c r="E625" s="226"/>
      <c r="F625" s="226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226"/>
      <c r="S625" s="226"/>
      <c r="T625" s="226"/>
      <c r="U625" s="226"/>
      <c r="V625" s="226"/>
      <c r="W625" s="226"/>
      <c r="X625" s="226"/>
      <c r="Y625" s="226"/>
      <c r="Z625" s="226"/>
    </row>
    <row r="626" spans="1:26" ht="16.5" customHeight="1">
      <c r="A626" s="237"/>
      <c r="B626" s="237"/>
      <c r="C626" s="237"/>
      <c r="D626" s="226"/>
      <c r="E626" s="226"/>
      <c r="F626" s="226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226"/>
      <c r="S626" s="226"/>
      <c r="T626" s="226"/>
      <c r="U626" s="226"/>
      <c r="V626" s="226"/>
      <c r="W626" s="226"/>
      <c r="X626" s="226"/>
      <c r="Y626" s="226"/>
      <c r="Z626" s="226"/>
    </row>
    <row r="627" spans="1:26" ht="16.5" customHeight="1">
      <c r="A627" s="237"/>
      <c r="B627" s="237"/>
      <c r="C627" s="237"/>
      <c r="D627" s="226"/>
      <c r="E627" s="226"/>
      <c r="F627" s="226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226"/>
      <c r="S627" s="226"/>
      <c r="T627" s="226"/>
      <c r="U627" s="226"/>
      <c r="V627" s="226"/>
      <c r="W627" s="226"/>
      <c r="X627" s="226"/>
      <c r="Y627" s="226"/>
      <c r="Z627" s="226"/>
    </row>
    <row r="628" spans="1:26" ht="16.5" customHeight="1">
      <c r="A628" s="237"/>
      <c r="B628" s="237"/>
      <c r="C628" s="237"/>
      <c r="D628" s="226"/>
      <c r="E628" s="226"/>
      <c r="F628" s="226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226"/>
      <c r="S628" s="226"/>
      <c r="T628" s="226"/>
      <c r="U628" s="226"/>
      <c r="V628" s="226"/>
      <c r="W628" s="226"/>
      <c r="X628" s="226"/>
      <c r="Y628" s="226"/>
      <c r="Z628" s="226"/>
    </row>
    <row r="629" spans="1:26" ht="16.5" customHeight="1">
      <c r="A629" s="237"/>
      <c r="B629" s="237"/>
      <c r="C629" s="237"/>
      <c r="D629" s="226"/>
      <c r="E629" s="226"/>
      <c r="F629" s="226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226"/>
      <c r="S629" s="226"/>
      <c r="T629" s="226"/>
      <c r="U629" s="226"/>
      <c r="V629" s="226"/>
      <c r="W629" s="226"/>
      <c r="X629" s="226"/>
      <c r="Y629" s="226"/>
      <c r="Z629" s="226"/>
    </row>
    <row r="630" spans="1:26" ht="16.5" customHeight="1">
      <c r="A630" s="237"/>
      <c r="B630" s="237"/>
      <c r="C630" s="237"/>
      <c r="D630" s="226"/>
      <c r="E630" s="226"/>
      <c r="F630" s="226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226"/>
      <c r="S630" s="226"/>
      <c r="T630" s="226"/>
      <c r="U630" s="226"/>
      <c r="V630" s="226"/>
      <c r="W630" s="226"/>
      <c r="X630" s="226"/>
      <c r="Y630" s="226"/>
      <c r="Z630" s="226"/>
    </row>
    <row r="631" spans="1:26" ht="16.5" customHeight="1">
      <c r="A631" s="237"/>
      <c r="B631" s="237"/>
      <c r="C631" s="237"/>
      <c r="D631" s="226"/>
      <c r="E631" s="226"/>
      <c r="F631" s="226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226"/>
      <c r="S631" s="226"/>
      <c r="T631" s="226"/>
      <c r="U631" s="226"/>
      <c r="V631" s="226"/>
      <c r="W631" s="226"/>
      <c r="X631" s="226"/>
      <c r="Y631" s="226"/>
      <c r="Z631" s="226"/>
    </row>
    <row r="632" spans="1:26" ht="16.5" customHeight="1">
      <c r="A632" s="237"/>
      <c r="B632" s="237"/>
      <c r="C632" s="237"/>
      <c r="D632" s="226"/>
      <c r="E632" s="226"/>
      <c r="F632" s="226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226"/>
      <c r="S632" s="226"/>
      <c r="T632" s="226"/>
      <c r="U632" s="226"/>
      <c r="V632" s="226"/>
      <c r="W632" s="226"/>
      <c r="X632" s="226"/>
      <c r="Y632" s="226"/>
      <c r="Z632" s="226"/>
    </row>
    <row r="633" spans="1:26" ht="16.5" customHeight="1">
      <c r="A633" s="237"/>
      <c r="B633" s="237"/>
      <c r="C633" s="237"/>
      <c r="D633" s="226"/>
      <c r="E633" s="226"/>
      <c r="F633" s="226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226"/>
      <c r="S633" s="226"/>
      <c r="T633" s="226"/>
      <c r="U633" s="226"/>
      <c r="V633" s="226"/>
      <c r="W633" s="226"/>
      <c r="X633" s="226"/>
      <c r="Y633" s="226"/>
      <c r="Z633" s="226"/>
    </row>
    <row r="634" spans="1:26" ht="16.5" customHeight="1">
      <c r="A634" s="237"/>
      <c r="B634" s="237"/>
      <c r="C634" s="237"/>
      <c r="D634" s="226"/>
      <c r="E634" s="226"/>
      <c r="F634" s="226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226"/>
      <c r="S634" s="226"/>
      <c r="T634" s="226"/>
      <c r="U634" s="226"/>
      <c r="V634" s="226"/>
      <c r="W634" s="226"/>
      <c r="X634" s="226"/>
      <c r="Y634" s="226"/>
      <c r="Z634" s="226"/>
    </row>
    <row r="635" spans="1:26" ht="16.5" customHeight="1">
      <c r="A635" s="237"/>
      <c r="B635" s="237"/>
      <c r="C635" s="237"/>
      <c r="D635" s="226"/>
      <c r="E635" s="226"/>
      <c r="F635" s="226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226"/>
      <c r="S635" s="226"/>
      <c r="T635" s="226"/>
      <c r="U635" s="226"/>
      <c r="V635" s="226"/>
      <c r="W635" s="226"/>
      <c r="X635" s="226"/>
      <c r="Y635" s="226"/>
      <c r="Z635" s="226"/>
    </row>
    <row r="636" spans="1:26" ht="16.5" customHeight="1">
      <c r="A636" s="237"/>
      <c r="B636" s="237"/>
      <c r="C636" s="237"/>
      <c r="D636" s="226"/>
      <c r="E636" s="226"/>
      <c r="F636" s="226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226"/>
      <c r="S636" s="226"/>
      <c r="T636" s="226"/>
      <c r="U636" s="226"/>
      <c r="V636" s="226"/>
      <c r="W636" s="226"/>
      <c r="X636" s="226"/>
      <c r="Y636" s="226"/>
      <c r="Z636" s="226"/>
    </row>
    <row r="637" spans="1:26" ht="16.5" customHeight="1">
      <c r="A637" s="237"/>
      <c r="B637" s="237"/>
      <c r="C637" s="237"/>
      <c r="D637" s="226"/>
      <c r="E637" s="226"/>
      <c r="F637" s="226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226"/>
      <c r="S637" s="226"/>
      <c r="T637" s="226"/>
      <c r="U637" s="226"/>
      <c r="V637" s="226"/>
      <c r="W637" s="226"/>
      <c r="X637" s="226"/>
      <c r="Y637" s="226"/>
      <c r="Z637" s="226"/>
    </row>
    <row r="638" spans="1:26" ht="16.5" customHeight="1">
      <c r="A638" s="237"/>
      <c r="B638" s="237"/>
      <c r="C638" s="237"/>
      <c r="D638" s="226"/>
      <c r="E638" s="226"/>
      <c r="F638" s="226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226"/>
      <c r="S638" s="226"/>
      <c r="T638" s="226"/>
      <c r="U638" s="226"/>
      <c r="V638" s="226"/>
      <c r="W638" s="226"/>
      <c r="X638" s="226"/>
      <c r="Y638" s="226"/>
      <c r="Z638" s="226"/>
    </row>
    <row r="639" spans="1:26" ht="16.5" customHeight="1">
      <c r="A639" s="237"/>
      <c r="B639" s="237"/>
      <c r="C639" s="237"/>
      <c r="D639" s="226"/>
      <c r="E639" s="226"/>
      <c r="F639" s="226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226"/>
      <c r="S639" s="226"/>
      <c r="T639" s="226"/>
      <c r="U639" s="226"/>
      <c r="V639" s="226"/>
      <c r="W639" s="226"/>
      <c r="X639" s="226"/>
      <c r="Y639" s="226"/>
      <c r="Z639" s="226"/>
    </row>
    <row r="640" spans="1:26" ht="16.5" customHeight="1">
      <c r="A640" s="237"/>
      <c r="B640" s="237"/>
      <c r="C640" s="237"/>
      <c r="D640" s="226"/>
      <c r="E640" s="226"/>
      <c r="F640" s="226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226"/>
      <c r="S640" s="226"/>
      <c r="T640" s="226"/>
      <c r="U640" s="226"/>
      <c r="V640" s="226"/>
      <c r="W640" s="226"/>
      <c r="X640" s="226"/>
      <c r="Y640" s="226"/>
      <c r="Z640" s="226"/>
    </row>
    <row r="641" spans="1:26" ht="16.5" customHeight="1">
      <c r="A641" s="237"/>
      <c r="B641" s="237"/>
      <c r="C641" s="237"/>
      <c r="D641" s="226"/>
      <c r="E641" s="226"/>
      <c r="F641" s="226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226"/>
      <c r="S641" s="226"/>
      <c r="T641" s="226"/>
      <c r="U641" s="226"/>
      <c r="V641" s="226"/>
      <c r="W641" s="226"/>
      <c r="X641" s="226"/>
      <c r="Y641" s="226"/>
      <c r="Z641" s="226"/>
    </row>
    <row r="642" spans="1:26" ht="16.5" customHeight="1">
      <c r="A642" s="237"/>
      <c r="B642" s="237"/>
      <c r="C642" s="237"/>
      <c r="D642" s="226"/>
      <c r="E642" s="226"/>
      <c r="F642" s="226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226"/>
      <c r="S642" s="226"/>
      <c r="T642" s="226"/>
      <c r="U642" s="226"/>
      <c r="V642" s="226"/>
      <c r="W642" s="226"/>
      <c r="X642" s="226"/>
      <c r="Y642" s="226"/>
      <c r="Z642" s="226"/>
    </row>
    <row r="643" spans="1:26" ht="16.5" customHeight="1">
      <c r="A643" s="237"/>
      <c r="B643" s="237"/>
      <c r="C643" s="237"/>
      <c r="D643" s="226"/>
      <c r="E643" s="226"/>
      <c r="F643" s="226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226"/>
      <c r="S643" s="226"/>
      <c r="T643" s="226"/>
      <c r="U643" s="226"/>
      <c r="V643" s="226"/>
      <c r="W643" s="226"/>
      <c r="X643" s="226"/>
      <c r="Y643" s="226"/>
      <c r="Z643" s="226"/>
    </row>
    <row r="644" spans="1:26" ht="16.5" customHeight="1">
      <c r="A644" s="237"/>
      <c r="B644" s="237"/>
      <c r="C644" s="237"/>
      <c r="D644" s="226"/>
      <c r="E644" s="226"/>
      <c r="F644" s="226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226"/>
      <c r="S644" s="226"/>
      <c r="T644" s="226"/>
      <c r="U644" s="226"/>
      <c r="V644" s="226"/>
      <c r="W644" s="226"/>
      <c r="X644" s="226"/>
      <c r="Y644" s="226"/>
      <c r="Z644" s="226"/>
    </row>
    <row r="645" spans="1:26" ht="16.5" customHeight="1">
      <c r="A645" s="237"/>
      <c r="B645" s="237"/>
      <c r="C645" s="237"/>
      <c r="D645" s="226"/>
      <c r="E645" s="226"/>
      <c r="F645" s="226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226"/>
      <c r="S645" s="226"/>
      <c r="T645" s="226"/>
      <c r="U645" s="226"/>
      <c r="V645" s="226"/>
      <c r="W645" s="226"/>
      <c r="X645" s="226"/>
      <c r="Y645" s="226"/>
      <c r="Z645" s="226"/>
    </row>
    <row r="646" spans="1:26" ht="16.5" customHeight="1">
      <c r="A646" s="237"/>
      <c r="B646" s="237"/>
      <c r="C646" s="237"/>
      <c r="D646" s="226"/>
      <c r="E646" s="226"/>
      <c r="F646" s="226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226"/>
      <c r="S646" s="226"/>
      <c r="T646" s="226"/>
      <c r="U646" s="226"/>
      <c r="V646" s="226"/>
      <c r="W646" s="226"/>
      <c r="X646" s="226"/>
      <c r="Y646" s="226"/>
      <c r="Z646" s="226"/>
    </row>
    <row r="647" spans="1:26" ht="16.5" customHeight="1">
      <c r="A647" s="237"/>
      <c r="B647" s="237"/>
      <c r="C647" s="237"/>
      <c r="D647" s="226"/>
      <c r="E647" s="226"/>
      <c r="F647" s="226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226"/>
      <c r="S647" s="226"/>
      <c r="T647" s="226"/>
      <c r="U647" s="226"/>
      <c r="V647" s="226"/>
      <c r="W647" s="226"/>
      <c r="X647" s="226"/>
      <c r="Y647" s="226"/>
      <c r="Z647" s="226"/>
    </row>
    <row r="648" spans="1:26" ht="16.5" customHeight="1">
      <c r="A648" s="237"/>
      <c r="B648" s="237"/>
      <c r="C648" s="237"/>
      <c r="D648" s="226"/>
      <c r="E648" s="226"/>
      <c r="F648" s="226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226"/>
      <c r="S648" s="226"/>
      <c r="T648" s="226"/>
      <c r="U648" s="226"/>
      <c r="V648" s="226"/>
      <c r="W648" s="226"/>
      <c r="X648" s="226"/>
      <c r="Y648" s="226"/>
      <c r="Z648" s="226"/>
    </row>
    <row r="649" spans="1:26" ht="16.5" customHeight="1">
      <c r="A649" s="237"/>
      <c r="B649" s="237"/>
      <c r="C649" s="237"/>
      <c r="D649" s="226"/>
      <c r="E649" s="226"/>
      <c r="F649" s="226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226"/>
      <c r="S649" s="226"/>
      <c r="T649" s="226"/>
      <c r="U649" s="226"/>
      <c r="V649" s="226"/>
      <c r="W649" s="226"/>
      <c r="X649" s="226"/>
      <c r="Y649" s="226"/>
      <c r="Z649" s="226"/>
    </row>
    <row r="650" spans="1:26" ht="16.5" customHeight="1">
      <c r="A650" s="237"/>
      <c r="B650" s="237"/>
      <c r="C650" s="237"/>
      <c r="D650" s="226"/>
      <c r="E650" s="226"/>
      <c r="F650" s="226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226"/>
      <c r="S650" s="226"/>
      <c r="T650" s="226"/>
      <c r="U650" s="226"/>
      <c r="V650" s="226"/>
      <c r="W650" s="226"/>
      <c r="X650" s="226"/>
      <c r="Y650" s="226"/>
      <c r="Z650" s="226"/>
    </row>
    <row r="651" spans="1:26" ht="16.5" customHeight="1">
      <c r="A651" s="237"/>
      <c r="B651" s="237"/>
      <c r="C651" s="237"/>
      <c r="D651" s="226"/>
      <c r="E651" s="226"/>
      <c r="F651" s="226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226"/>
      <c r="S651" s="226"/>
      <c r="T651" s="226"/>
      <c r="U651" s="226"/>
      <c r="V651" s="226"/>
      <c r="W651" s="226"/>
      <c r="X651" s="226"/>
      <c r="Y651" s="226"/>
      <c r="Z651" s="226"/>
    </row>
    <row r="652" spans="1:26" ht="16.5" customHeight="1">
      <c r="A652" s="237"/>
      <c r="B652" s="237"/>
      <c r="C652" s="237"/>
      <c r="D652" s="226"/>
      <c r="E652" s="226"/>
      <c r="F652" s="226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226"/>
      <c r="S652" s="226"/>
      <c r="T652" s="226"/>
      <c r="U652" s="226"/>
      <c r="V652" s="226"/>
      <c r="W652" s="226"/>
      <c r="X652" s="226"/>
      <c r="Y652" s="226"/>
      <c r="Z652" s="226"/>
    </row>
    <row r="653" spans="1:26" ht="16.5" customHeight="1">
      <c r="A653" s="237"/>
      <c r="B653" s="237"/>
      <c r="C653" s="237"/>
      <c r="D653" s="226"/>
      <c r="E653" s="226"/>
      <c r="F653" s="226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226"/>
      <c r="S653" s="226"/>
      <c r="T653" s="226"/>
      <c r="U653" s="226"/>
      <c r="V653" s="226"/>
      <c r="W653" s="226"/>
      <c r="X653" s="226"/>
      <c r="Y653" s="226"/>
      <c r="Z653" s="226"/>
    </row>
    <row r="654" spans="1:26" ht="16.5" customHeight="1">
      <c r="A654" s="237"/>
      <c r="B654" s="237"/>
      <c r="C654" s="237"/>
      <c r="D654" s="226"/>
      <c r="E654" s="226"/>
      <c r="F654" s="226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226"/>
      <c r="S654" s="226"/>
      <c r="T654" s="226"/>
      <c r="U654" s="226"/>
      <c r="V654" s="226"/>
      <c r="W654" s="226"/>
      <c r="X654" s="226"/>
      <c r="Y654" s="226"/>
      <c r="Z654" s="226"/>
    </row>
    <row r="655" spans="1:26" ht="16.5" customHeight="1">
      <c r="A655" s="237"/>
      <c r="B655" s="237"/>
      <c r="C655" s="237"/>
      <c r="D655" s="226"/>
      <c r="E655" s="226"/>
      <c r="F655" s="226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226"/>
      <c r="S655" s="226"/>
      <c r="T655" s="226"/>
      <c r="U655" s="226"/>
      <c r="V655" s="226"/>
      <c r="W655" s="226"/>
      <c r="X655" s="226"/>
      <c r="Y655" s="226"/>
      <c r="Z655" s="226"/>
    </row>
    <row r="656" spans="1:26" ht="16.5" customHeight="1">
      <c r="A656" s="237"/>
      <c r="B656" s="237"/>
      <c r="C656" s="237"/>
      <c r="D656" s="226"/>
      <c r="E656" s="226"/>
      <c r="F656" s="226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226"/>
      <c r="S656" s="226"/>
      <c r="T656" s="226"/>
      <c r="U656" s="226"/>
      <c r="V656" s="226"/>
      <c r="W656" s="226"/>
      <c r="X656" s="226"/>
      <c r="Y656" s="226"/>
      <c r="Z656" s="226"/>
    </row>
    <row r="657" spans="1:26" ht="16.5" customHeight="1">
      <c r="A657" s="237"/>
      <c r="B657" s="237"/>
      <c r="C657" s="237"/>
      <c r="D657" s="226"/>
      <c r="E657" s="226"/>
      <c r="F657" s="226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226"/>
      <c r="S657" s="226"/>
      <c r="T657" s="226"/>
      <c r="U657" s="226"/>
      <c r="V657" s="226"/>
      <c r="W657" s="226"/>
      <c r="X657" s="226"/>
      <c r="Y657" s="226"/>
      <c r="Z657" s="226"/>
    </row>
    <row r="658" spans="1:26" ht="16.5" customHeight="1">
      <c r="A658" s="237"/>
      <c r="B658" s="237"/>
      <c r="C658" s="237"/>
      <c r="D658" s="226"/>
      <c r="E658" s="226"/>
      <c r="F658" s="226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226"/>
      <c r="S658" s="226"/>
      <c r="T658" s="226"/>
      <c r="U658" s="226"/>
      <c r="V658" s="226"/>
      <c r="W658" s="226"/>
      <c r="X658" s="226"/>
      <c r="Y658" s="226"/>
      <c r="Z658" s="226"/>
    </row>
    <row r="659" spans="1:26" ht="16.5" customHeight="1">
      <c r="A659" s="237"/>
      <c r="B659" s="237"/>
      <c r="C659" s="237"/>
      <c r="D659" s="226"/>
      <c r="E659" s="226"/>
      <c r="F659" s="226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226"/>
      <c r="S659" s="226"/>
      <c r="T659" s="226"/>
      <c r="U659" s="226"/>
      <c r="V659" s="226"/>
      <c r="W659" s="226"/>
      <c r="X659" s="226"/>
      <c r="Y659" s="226"/>
      <c r="Z659" s="226"/>
    </row>
    <row r="660" spans="1:26" ht="16.5" customHeight="1">
      <c r="A660" s="237"/>
      <c r="B660" s="237"/>
      <c r="C660" s="237"/>
      <c r="D660" s="226"/>
      <c r="E660" s="226"/>
      <c r="F660" s="226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226"/>
      <c r="S660" s="226"/>
      <c r="T660" s="226"/>
      <c r="U660" s="226"/>
      <c r="V660" s="226"/>
      <c r="W660" s="226"/>
      <c r="X660" s="226"/>
      <c r="Y660" s="226"/>
      <c r="Z660" s="226"/>
    </row>
    <row r="661" spans="1:26" ht="16.5" customHeight="1">
      <c r="A661" s="237"/>
      <c r="B661" s="237"/>
      <c r="C661" s="237"/>
      <c r="D661" s="226"/>
      <c r="E661" s="226"/>
      <c r="F661" s="226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226"/>
      <c r="S661" s="226"/>
      <c r="T661" s="226"/>
      <c r="U661" s="226"/>
      <c r="V661" s="226"/>
      <c r="W661" s="226"/>
      <c r="X661" s="226"/>
      <c r="Y661" s="226"/>
      <c r="Z661" s="226"/>
    </row>
    <row r="662" spans="1:26" ht="16.5" customHeight="1">
      <c r="A662" s="237"/>
      <c r="B662" s="237"/>
      <c r="C662" s="237"/>
      <c r="D662" s="226"/>
      <c r="E662" s="226"/>
      <c r="F662" s="226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226"/>
      <c r="S662" s="226"/>
      <c r="T662" s="226"/>
      <c r="U662" s="226"/>
      <c r="V662" s="226"/>
      <c r="W662" s="226"/>
      <c r="X662" s="226"/>
      <c r="Y662" s="226"/>
      <c r="Z662" s="226"/>
    </row>
    <row r="663" spans="1:26" ht="16.5" customHeight="1">
      <c r="A663" s="237"/>
      <c r="B663" s="237"/>
      <c r="C663" s="237"/>
      <c r="D663" s="226"/>
      <c r="E663" s="226"/>
      <c r="F663" s="226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226"/>
      <c r="S663" s="226"/>
      <c r="T663" s="226"/>
      <c r="U663" s="226"/>
      <c r="V663" s="226"/>
      <c r="W663" s="226"/>
      <c r="X663" s="226"/>
      <c r="Y663" s="226"/>
      <c r="Z663" s="226"/>
    </row>
    <row r="664" spans="1:26" ht="16.5" customHeight="1">
      <c r="A664" s="237"/>
      <c r="B664" s="237"/>
      <c r="C664" s="237"/>
      <c r="D664" s="226"/>
      <c r="E664" s="226"/>
      <c r="F664" s="226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226"/>
      <c r="S664" s="226"/>
      <c r="T664" s="226"/>
      <c r="U664" s="226"/>
      <c r="V664" s="226"/>
      <c r="W664" s="226"/>
      <c r="X664" s="226"/>
      <c r="Y664" s="226"/>
      <c r="Z664" s="226"/>
    </row>
    <row r="665" spans="1:26" ht="16.5" customHeight="1">
      <c r="A665" s="237"/>
      <c r="B665" s="237"/>
      <c r="C665" s="237"/>
      <c r="D665" s="226"/>
      <c r="E665" s="226"/>
      <c r="F665" s="226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226"/>
      <c r="S665" s="226"/>
      <c r="T665" s="226"/>
      <c r="U665" s="226"/>
      <c r="V665" s="226"/>
      <c r="W665" s="226"/>
      <c r="X665" s="226"/>
      <c r="Y665" s="226"/>
      <c r="Z665" s="226"/>
    </row>
    <row r="666" spans="1:26" ht="16.5" customHeight="1">
      <c r="A666" s="237"/>
      <c r="B666" s="237"/>
      <c r="C666" s="237"/>
      <c r="D666" s="226"/>
      <c r="E666" s="226"/>
      <c r="F666" s="226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226"/>
      <c r="S666" s="226"/>
      <c r="T666" s="226"/>
      <c r="U666" s="226"/>
      <c r="V666" s="226"/>
      <c r="W666" s="226"/>
      <c r="X666" s="226"/>
      <c r="Y666" s="226"/>
      <c r="Z666" s="226"/>
    </row>
    <row r="667" spans="1:26" ht="16.5" customHeight="1">
      <c r="A667" s="237"/>
      <c r="B667" s="237"/>
      <c r="C667" s="237"/>
      <c r="D667" s="226"/>
      <c r="E667" s="226"/>
      <c r="F667" s="226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226"/>
      <c r="S667" s="226"/>
      <c r="T667" s="226"/>
      <c r="U667" s="226"/>
      <c r="V667" s="226"/>
      <c r="W667" s="226"/>
      <c r="X667" s="226"/>
      <c r="Y667" s="226"/>
      <c r="Z667" s="226"/>
    </row>
    <row r="668" spans="1:26" ht="16.5" customHeight="1">
      <c r="A668" s="237"/>
      <c r="B668" s="237"/>
      <c r="C668" s="237"/>
      <c r="D668" s="226"/>
      <c r="E668" s="226"/>
      <c r="F668" s="226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226"/>
      <c r="S668" s="226"/>
      <c r="T668" s="226"/>
      <c r="U668" s="226"/>
      <c r="V668" s="226"/>
      <c r="W668" s="226"/>
      <c r="X668" s="226"/>
      <c r="Y668" s="226"/>
      <c r="Z668" s="226"/>
    </row>
    <row r="669" spans="1:26" ht="16.5" customHeight="1">
      <c r="A669" s="237"/>
      <c r="B669" s="237"/>
      <c r="C669" s="237"/>
      <c r="D669" s="226"/>
      <c r="E669" s="226"/>
      <c r="F669" s="226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226"/>
      <c r="S669" s="226"/>
      <c r="T669" s="226"/>
      <c r="U669" s="226"/>
      <c r="V669" s="226"/>
      <c r="W669" s="226"/>
      <c r="X669" s="226"/>
      <c r="Y669" s="226"/>
      <c r="Z669" s="226"/>
    </row>
    <row r="670" spans="1:26" ht="16.5" customHeight="1">
      <c r="A670" s="237"/>
      <c r="B670" s="237"/>
      <c r="C670" s="237"/>
      <c r="D670" s="226"/>
      <c r="E670" s="226"/>
      <c r="F670" s="226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226"/>
      <c r="S670" s="226"/>
      <c r="T670" s="226"/>
      <c r="U670" s="226"/>
      <c r="V670" s="226"/>
      <c r="W670" s="226"/>
      <c r="X670" s="226"/>
      <c r="Y670" s="226"/>
      <c r="Z670" s="226"/>
    </row>
    <row r="671" spans="1:26" ht="16.5" customHeight="1">
      <c r="A671" s="237"/>
      <c r="B671" s="237"/>
      <c r="C671" s="237"/>
      <c r="D671" s="226"/>
      <c r="E671" s="226"/>
      <c r="F671" s="226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226"/>
      <c r="S671" s="226"/>
      <c r="T671" s="226"/>
      <c r="U671" s="226"/>
      <c r="V671" s="226"/>
      <c r="W671" s="226"/>
      <c r="X671" s="226"/>
      <c r="Y671" s="226"/>
      <c r="Z671" s="226"/>
    </row>
    <row r="672" spans="1:26" ht="16.5" customHeight="1">
      <c r="A672" s="237"/>
      <c r="B672" s="237"/>
      <c r="C672" s="237"/>
      <c r="D672" s="226"/>
      <c r="E672" s="226"/>
      <c r="F672" s="226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226"/>
      <c r="S672" s="226"/>
      <c r="T672" s="226"/>
      <c r="U672" s="226"/>
      <c r="V672" s="226"/>
      <c r="W672" s="226"/>
      <c r="X672" s="226"/>
      <c r="Y672" s="226"/>
      <c r="Z672" s="226"/>
    </row>
    <row r="673" spans="1:26" ht="16.5" customHeight="1">
      <c r="A673" s="237"/>
      <c r="B673" s="237"/>
      <c r="C673" s="237"/>
      <c r="D673" s="226"/>
      <c r="E673" s="226"/>
      <c r="F673" s="226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226"/>
      <c r="S673" s="226"/>
      <c r="T673" s="226"/>
      <c r="U673" s="226"/>
      <c r="V673" s="226"/>
      <c r="W673" s="226"/>
      <c r="X673" s="226"/>
      <c r="Y673" s="226"/>
      <c r="Z673" s="226"/>
    </row>
    <row r="674" spans="1:26" ht="16.5" customHeight="1">
      <c r="A674" s="237"/>
      <c r="B674" s="237"/>
      <c r="C674" s="237"/>
      <c r="D674" s="226"/>
      <c r="E674" s="226"/>
      <c r="F674" s="226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226"/>
      <c r="S674" s="226"/>
      <c r="T674" s="226"/>
      <c r="U674" s="226"/>
      <c r="V674" s="226"/>
      <c r="W674" s="226"/>
      <c r="X674" s="226"/>
      <c r="Y674" s="226"/>
      <c r="Z674" s="226"/>
    </row>
    <row r="675" spans="1:26" ht="16.5" customHeight="1">
      <c r="A675" s="237"/>
      <c r="B675" s="237"/>
      <c r="C675" s="237"/>
      <c r="D675" s="226"/>
      <c r="E675" s="226"/>
      <c r="F675" s="226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226"/>
      <c r="S675" s="226"/>
      <c r="T675" s="226"/>
      <c r="U675" s="226"/>
      <c r="V675" s="226"/>
      <c r="W675" s="226"/>
      <c r="X675" s="226"/>
      <c r="Y675" s="226"/>
      <c r="Z675" s="226"/>
    </row>
    <row r="676" spans="1:26" ht="16.5" customHeight="1">
      <c r="A676" s="237"/>
      <c r="B676" s="237"/>
      <c r="C676" s="237"/>
      <c r="D676" s="226"/>
      <c r="E676" s="226"/>
      <c r="F676" s="226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226"/>
      <c r="S676" s="226"/>
      <c r="T676" s="226"/>
      <c r="U676" s="226"/>
      <c r="V676" s="226"/>
      <c r="W676" s="226"/>
      <c r="X676" s="226"/>
      <c r="Y676" s="226"/>
      <c r="Z676" s="226"/>
    </row>
    <row r="677" spans="1:26" ht="16.5" customHeight="1">
      <c r="A677" s="237"/>
      <c r="B677" s="237"/>
      <c r="C677" s="237"/>
      <c r="D677" s="226"/>
      <c r="E677" s="226"/>
      <c r="F677" s="226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226"/>
      <c r="S677" s="226"/>
      <c r="T677" s="226"/>
      <c r="U677" s="226"/>
      <c r="V677" s="226"/>
      <c r="W677" s="226"/>
      <c r="X677" s="226"/>
      <c r="Y677" s="226"/>
      <c r="Z677" s="226"/>
    </row>
    <row r="678" spans="1:26" ht="16.5" customHeight="1">
      <c r="A678" s="237"/>
      <c r="B678" s="237"/>
      <c r="C678" s="237"/>
      <c r="D678" s="226"/>
      <c r="E678" s="226"/>
      <c r="F678" s="226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226"/>
      <c r="S678" s="226"/>
      <c r="T678" s="226"/>
      <c r="U678" s="226"/>
      <c r="V678" s="226"/>
      <c r="W678" s="226"/>
      <c r="X678" s="226"/>
      <c r="Y678" s="226"/>
      <c r="Z678" s="226"/>
    </row>
    <row r="679" spans="1:26" ht="16.5" customHeight="1">
      <c r="A679" s="237"/>
      <c r="B679" s="237"/>
      <c r="C679" s="237"/>
      <c r="D679" s="226"/>
      <c r="E679" s="226"/>
      <c r="F679" s="226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226"/>
      <c r="S679" s="226"/>
      <c r="T679" s="226"/>
      <c r="U679" s="226"/>
      <c r="V679" s="226"/>
      <c r="W679" s="226"/>
      <c r="X679" s="226"/>
      <c r="Y679" s="226"/>
      <c r="Z679" s="226"/>
    </row>
    <row r="680" spans="1:26" ht="16.5" customHeight="1">
      <c r="A680" s="237"/>
      <c r="B680" s="237"/>
      <c r="C680" s="237"/>
      <c r="D680" s="226"/>
      <c r="E680" s="226"/>
      <c r="F680" s="226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226"/>
      <c r="S680" s="226"/>
      <c r="T680" s="226"/>
      <c r="U680" s="226"/>
      <c r="V680" s="226"/>
      <c r="W680" s="226"/>
      <c r="X680" s="226"/>
      <c r="Y680" s="226"/>
      <c r="Z680" s="226"/>
    </row>
    <row r="681" spans="1:26" ht="16.5" customHeight="1">
      <c r="A681" s="237"/>
      <c r="B681" s="237"/>
      <c r="C681" s="237"/>
      <c r="D681" s="226"/>
      <c r="E681" s="226"/>
      <c r="F681" s="226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226"/>
      <c r="S681" s="226"/>
      <c r="T681" s="226"/>
      <c r="U681" s="226"/>
      <c r="V681" s="226"/>
      <c r="W681" s="226"/>
      <c r="X681" s="226"/>
      <c r="Y681" s="226"/>
      <c r="Z681" s="226"/>
    </row>
    <row r="682" spans="1:26" ht="16.5" customHeight="1">
      <c r="A682" s="237"/>
      <c r="B682" s="237"/>
      <c r="C682" s="237"/>
      <c r="D682" s="226"/>
      <c r="E682" s="226"/>
      <c r="F682" s="226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226"/>
      <c r="S682" s="226"/>
      <c r="T682" s="226"/>
      <c r="U682" s="226"/>
      <c r="V682" s="226"/>
      <c r="W682" s="226"/>
      <c r="X682" s="226"/>
      <c r="Y682" s="226"/>
      <c r="Z682" s="226"/>
    </row>
    <row r="683" spans="1:26" ht="16.5" customHeight="1">
      <c r="A683" s="237"/>
      <c r="B683" s="237"/>
      <c r="C683" s="237"/>
      <c r="D683" s="226"/>
      <c r="E683" s="226"/>
      <c r="F683" s="226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226"/>
      <c r="S683" s="226"/>
      <c r="T683" s="226"/>
      <c r="U683" s="226"/>
      <c r="V683" s="226"/>
      <c r="W683" s="226"/>
      <c r="X683" s="226"/>
      <c r="Y683" s="226"/>
      <c r="Z683" s="226"/>
    </row>
    <row r="684" spans="1:26" ht="16.5" customHeight="1">
      <c r="A684" s="237"/>
      <c r="B684" s="237"/>
      <c r="C684" s="237"/>
      <c r="D684" s="226"/>
      <c r="E684" s="226"/>
      <c r="F684" s="226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226"/>
      <c r="S684" s="226"/>
      <c r="T684" s="226"/>
      <c r="U684" s="226"/>
      <c r="V684" s="226"/>
      <c r="W684" s="226"/>
      <c r="X684" s="226"/>
      <c r="Y684" s="226"/>
      <c r="Z684" s="226"/>
    </row>
    <row r="685" spans="1:26" ht="16.5" customHeight="1">
      <c r="A685" s="237"/>
      <c r="B685" s="237"/>
      <c r="C685" s="237"/>
      <c r="D685" s="226"/>
      <c r="E685" s="226"/>
      <c r="F685" s="226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226"/>
      <c r="S685" s="226"/>
      <c r="T685" s="226"/>
      <c r="U685" s="226"/>
      <c r="V685" s="226"/>
      <c r="W685" s="226"/>
      <c r="X685" s="226"/>
      <c r="Y685" s="226"/>
      <c r="Z685" s="226"/>
    </row>
    <row r="686" spans="1:26" ht="16.5" customHeight="1">
      <c r="A686" s="237"/>
      <c r="B686" s="237"/>
      <c r="C686" s="237"/>
      <c r="D686" s="226"/>
      <c r="E686" s="226"/>
      <c r="F686" s="226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226"/>
      <c r="S686" s="226"/>
      <c r="T686" s="226"/>
      <c r="U686" s="226"/>
      <c r="V686" s="226"/>
      <c r="W686" s="226"/>
      <c r="X686" s="226"/>
      <c r="Y686" s="226"/>
      <c r="Z686" s="226"/>
    </row>
    <row r="687" spans="1:26" ht="16.5" customHeight="1">
      <c r="A687" s="237"/>
      <c r="B687" s="237"/>
      <c r="C687" s="237"/>
      <c r="D687" s="226"/>
      <c r="E687" s="226"/>
      <c r="F687" s="226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226"/>
      <c r="S687" s="226"/>
      <c r="T687" s="226"/>
      <c r="U687" s="226"/>
      <c r="V687" s="226"/>
      <c r="W687" s="226"/>
      <c r="X687" s="226"/>
      <c r="Y687" s="226"/>
      <c r="Z687" s="226"/>
    </row>
    <row r="688" spans="1:26" ht="16.5" customHeight="1">
      <c r="A688" s="237"/>
      <c r="B688" s="237"/>
      <c r="C688" s="237"/>
      <c r="D688" s="226"/>
      <c r="E688" s="226"/>
      <c r="F688" s="226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226"/>
      <c r="S688" s="226"/>
      <c r="T688" s="226"/>
      <c r="U688" s="226"/>
      <c r="V688" s="226"/>
      <c r="W688" s="226"/>
      <c r="X688" s="226"/>
      <c r="Y688" s="226"/>
      <c r="Z688" s="226"/>
    </row>
    <row r="689" spans="1:26" ht="16.5" customHeight="1">
      <c r="A689" s="237"/>
      <c r="B689" s="237"/>
      <c r="C689" s="237"/>
      <c r="D689" s="226"/>
      <c r="E689" s="226"/>
      <c r="F689" s="226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226"/>
      <c r="S689" s="226"/>
      <c r="T689" s="226"/>
      <c r="U689" s="226"/>
      <c r="V689" s="226"/>
      <c r="W689" s="226"/>
      <c r="X689" s="226"/>
      <c r="Y689" s="226"/>
      <c r="Z689" s="226"/>
    </row>
    <row r="690" spans="1:26" ht="16.5" customHeight="1">
      <c r="A690" s="237"/>
      <c r="B690" s="237"/>
      <c r="C690" s="237"/>
      <c r="D690" s="226"/>
      <c r="E690" s="226"/>
      <c r="F690" s="226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226"/>
      <c r="S690" s="226"/>
      <c r="T690" s="226"/>
      <c r="U690" s="226"/>
      <c r="V690" s="226"/>
      <c r="W690" s="226"/>
      <c r="X690" s="226"/>
      <c r="Y690" s="226"/>
      <c r="Z690" s="226"/>
    </row>
    <row r="691" spans="1:26" ht="16.5" customHeight="1">
      <c r="A691" s="237"/>
      <c r="B691" s="237"/>
      <c r="C691" s="237"/>
      <c r="D691" s="226"/>
      <c r="E691" s="226"/>
      <c r="F691" s="226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226"/>
      <c r="S691" s="226"/>
      <c r="T691" s="226"/>
      <c r="U691" s="226"/>
      <c r="V691" s="226"/>
      <c r="W691" s="226"/>
      <c r="X691" s="226"/>
      <c r="Y691" s="226"/>
      <c r="Z691" s="226"/>
    </row>
    <row r="692" spans="1:26" ht="16.5" customHeight="1">
      <c r="A692" s="237"/>
      <c r="B692" s="237"/>
      <c r="C692" s="237"/>
      <c r="D692" s="226"/>
      <c r="E692" s="226"/>
      <c r="F692" s="226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226"/>
      <c r="S692" s="226"/>
      <c r="T692" s="226"/>
      <c r="U692" s="226"/>
      <c r="V692" s="226"/>
      <c r="W692" s="226"/>
      <c r="X692" s="226"/>
      <c r="Y692" s="226"/>
      <c r="Z692" s="226"/>
    </row>
    <row r="693" spans="1:26" ht="16.5" customHeight="1">
      <c r="A693" s="237"/>
      <c r="B693" s="237"/>
      <c r="C693" s="237"/>
      <c r="D693" s="226"/>
      <c r="E693" s="226"/>
      <c r="F693" s="226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226"/>
      <c r="S693" s="226"/>
      <c r="T693" s="226"/>
      <c r="U693" s="226"/>
      <c r="V693" s="226"/>
      <c r="W693" s="226"/>
      <c r="X693" s="226"/>
      <c r="Y693" s="226"/>
      <c r="Z693" s="226"/>
    </row>
    <row r="694" spans="1:26" ht="16.5" customHeight="1">
      <c r="A694" s="237"/>
      <c r="B694" s="237"/>
      <c r="C694" s="237"/>
      <c r="D694" s="226"/>
      <c r="E694" s="226"/>
      <c r="F694" s="226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226"/>
      <c r="S694" s="226"/>
      <c r="T694" s="226"/>
      <c r="U694" s="226"/>
      <c r="V694" s="226"/>
      <c r="W694" s="226"/>
      <c r="X694" s="226"/>
      <c r="Y694" s="226"/>
      <c r="Z694" s="226"/>
    </row>
    <row r="695" spans="1:26" ht="16.5" customHeight="1">
      <c r="A695" s="237"/>
      <c r="B695" s="237"/>
      <c r="C695" s="237"/>
      <c r="D695" s="226"/>
      <c r="E695" s="226"/>
      <c r="F695" s="226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226"/>
      <c r="S695" s="226"/>
      <c r="T695" s="226"/>
      <c r="U695" s="226"/>
      <c r="V695" s="226"/>
      <c r="W695" s="226"/>
      <c r="X695" s="226"/>
      <c r="Y695" s="226"/>
      <c r="Z695" s="226"/>
    </row>
    <row r="696" spans="1:26" ht="16.5" customHeight="1">
      <c r="A696" s="237"/>
      <c r="B696" s="237"/>
      <c r="C696" s="237"/>
      <c r="D696" s="226"/>
      <c r="E696" s="226"/>
      <c r="F696" s="226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226"/>
      <c r="S696" s="226"/>
      <c r="T696" s="226"/>
      <c r="U696" s="226"/>
      <c r="V696" s="226"/>
      <c r="W696" s="226"/>
      <c r="X696" s="226"/>
      <c r="Y696" s="226"/>
      <c r="Z696" s="226"/>
    </row>
    <row r="697" spans="1:26" ht="16.5" customHeight="1">
      <c r="A697" s="237"/>
      <c r="B697" s="237"/>
      <c r="C697" s="237"/>
      <c r="D697" s="226"/>
      <c r="E697" s="226"/>
      <c r="F697" s="226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226"/>
      <c r="S697" s="226"/>
      <c r="T697" s="226"/>
      <c r="U697" s="226"/>
      <c r="V697" s="226"/>
      <c r="W697" s="226"/>
      <c r="X697" s="226"/>
      <c r="Y697" s="226"/>
      <c r="Z697" s="226"/>
    </row>
    <row r="698" spans="1:26" ht="16.5" customHeight="1">
      <c r="A698" s="237"/>
      <c r="B698" s="237"/>
      <c r="C698" s="237"/>
      <c r="D698" s="226"/>
      <c r="E698" s="226"/>
      <c r="F698" s="226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226"/>
      <c r="S698" s="226"/>
      <c r="T698" s="226"/>
      <c r="U698" s="226"/>
      <c r="V698" s="226"/>
      <c r="W698" s="226"/>
      <c r="X698" s="226"/>
      <c r="Y698" s="226"/>
      <c r="Z698" s="226"/>
    </row>
    <row r="699" spans="1:26" ht="16.5" customHeight="1">
      <c r="A699" s="237"/>
      <c r="B699" s="237"/>
      <c r="C699" s="237"/>
      <c r="D699" s="226"/>
      <c r="E699" s="226"/>
      <c r="F699" s="226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226"/>
      <c r="S699" s="226"/>
      <c r="T699" s="226"/>
      <c r="U699" s="226"/>
      <c r="V699" s="226"/>
      <c r="W699" s="226"/>
      <c r="X699" s="226"/>
      <c r="Y699" s="226"/>
      <c r="Z699" s="226"/>
    </row>
    <row r="700" spans="1:26" ht="16.5" customHeight="1">
      <c r="A700" s="237"/>
      <c r="B700" s="237"/>
      <c r="C700" s="237"/>
      <c r="D700" s="226"/>
      <c r="E700" s="226"/>
      <c r="F700" s="226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226"/>
      <c r="S700" s="226"/>
      <c r="T700" s="226"/>
      <c r="U700" s="226"/>
      <c r="V700" s="226"/>
      <c r="W700" s="226"/>
      <c r="X700" s="226"/>
      <c r="Y700" s="226"/>
      <c r="Z700" s="226"/>
    </row>
    <row r="701" spans="1:26" ht="16.5" customHeight="1">
      <c r="A701" s="237"/>
      <c r="B701" s="237"/>
      <c r="C701" s="237"/>
      <c r="D701" s="226"/>
      <c r="E701" s="226"/>
      <c r="F701" s="226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226"/>
      <c r="S701" s="226"/>
      <c r="T701" s="226"/>
      <c r="U701" s="226"/>
      <c r="V701" s="226"/>
      <c r="W701" s="226"/>
      <c r="X701" s="226"/>
      <c r="Y701" s="226"/>
      <c r="Z701" s="226"/>
    </row>
    <row r="702" spans="1:26" ht="16.5" customHeight="1">
      <c r="A702" s="237"/>
      <c r="B702" s="237"/>
      <c r="C702" s="237"/>
      <c r="D702" s="226"/>
      <c r="E702" s="226"/>
      <c r="F702" s="226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226"/>
      <c r="S702" s="226"/>
      <c r="T702" s="226"/>
      <c r="U702" s="226"/>
      <c r="V702" s="226"/>
      <c r="W702" s="226"/>
      <c r="X702" s="226"/>
      <c r="Y702" s="226"/>
      <c r="Z702" s="226"/>
    </row>
    <row r="703" spans="1:26" ht="16.5" customHeight="1">
      <c r="A703" s="237"/>
      <c r="B703" s="237"/>
      <c r="C703" s="237"/>
      <c r="D703" s="226"/>
      <c r="E703" s="226"/>
      <c r="F703" s="226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226"/>
      <c r="S703" s="226"/>
      <c r="T703" s="226"/>
      <c r="U703" s="226"/>
      <c r="V703" s="226"/>
      <c r="W703" s="226"/>
      <c r="X703" s="226"/>
      <c r="Y703" s="226"/>
      <c r="Z703" s="226"/>
    </row>
    <row r="704" spans="1:26" ht="16.5" customHeight="1">
      <c r="A704" s="237"/>
      <c r="B704" s="237"/>
      <c r="C704" s="237"/>
      <c r="D704" s="226"/>
      <c r="E704" s="226"/>
      <c r="F704" s="226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226"/>
      <c r="S704" s="226"/>
      <c r="T704" s="226"/>
      <c r="U704" s="226"/>
      <c r="V704" s="226"/>
      <c r="W704" s="226"/>
      <c r="X704" s="226"/>
      <c r="Y704" s="226"/>
      <c r="Z704" s="226"/>
    </row>
    <row r="705" spans="1:26" ht="16.5" customHeight="1">
      <c r="A705" s="237"/>
      <c r="B705" s="237"/>
      <c r="C705" s="237"/>
      <c r="D705" s="226"/>
      <c r="E705" s="226"/>
      <c r="F705" s="226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226"/>
      <c r="S705" s="226"/>
      <c r="T705" s="226"/>
      <c r="U705" s="226"/>
      <c r="V705" s="226"/>
      <c r="W705" s="226"/>
      <c r="X705" s="226"/>
      <c r="Y705" s="226"/>
      <c r="Z705" s="226"/>
    </row>
    <row r="706" spans="1:26" ht="16.5" customHeight="1">
      <c r="A706" s="237"/>
      <c r="B706" s="237"/>
      <c r="C706" s="237"/>
      <c r="D706" s="226"/>
      <c r="E706" s="226"/>
      <c r="F706" s="226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226"/>
      <c r="S706" s="226"/>
      <c r="T706" s="226"/>
      <c r="U706" s="226"/>
      <c r="V706" s="226"/>
      <c r="W706" s="226"/>
      <c r="X706" s="226"/>
      <c r="Y706" s="226"/>
      <c r="Z706" s="226"/>
    </row>
    <row r="707" spans="1:26" ht="16.5" customHeight="1">
      <c r="A707" s="237"/>
      <c r="B707" s="237"/>
      <c r="C707" s="237"/>
      <c r="D707" s="226"/>
      <c r="E707" s="226"/>
      <c r="F707" s="226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226"/>
      <c r="S707" s="226"/>
      <c r="T707" s="226"/>
      <c r="U707" s="226"/>
      <c r="V707" s="226"/>
      <c r="W707" s="226"/>
      <c r="X707" s="226"/>
      <c r="Y707" s="226"/>
      <c r="Z707" s="226"/>
    </row>
    <row r="708" spans="1:26" ht="16.5" customHeight="1">
      <c r="A708" s="237"/>
      <c r="B708" s="237"/>
      <c r="C708" s="237"/>
      <c r="D708" s="226"/>
      <c r="E708" s="226"/>
      <c r="F708" s="226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226"/>
      <c r="S708" s="226"/>
      <c r="T708" s="226"/>
      <c r="U708" s="226"/>
      <c r="V708" s="226"/>
      <c r="W708" s="226"/>
      <c r="X708" s="226"/>
      <c r="Y708" s="226"/>
      <c r="Z708" s="226"/>
    </row>
    <row r="709" spans="1:26" ht="16.5" customHeight="1">
      <c r="A709" s="237"/>
      <c r="B709" s="237"/>
      <c r="C709" s="237"/>
      <c r="D709" s="226"/>
      <c r="E709" s="226"/>
      <c r="F709" s="226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226"/>
      <c r="S709" s="226"/>
      <c r="T709" s="226"/>
      <c r="U709" s="226"/>
      <c r="V709" s="226"/>
      <c r="W709" s="226"/>
      <c r="X709" s="226"/>
      <c r="Y709" s="226"/>
      <c r="Z709" s="226"/>
    </row>
    <row r="710" spans="1:26" ht="16.5" customHeight="1">
      <c r="A710" s="237"/>
      <c r="B710" s="237"/>
      <c r="C710" s="237"/>
      <c r="D710" s="226"/>
      <c r="E710" s="226"/>
      <c r="F710" s="226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226"/>
      <c r="S710" s="226"/>
      <c r="T710" s="226"/>
      <c r="U710" s="226"/>
      <c r="V710" s="226"/>
      <c r="W710" s="226"/>
      <c r="X710" s="226"/>
      <c r="Y710" s="226"/>
      <c r="Z710" s="226"/>
    </row>
    <row r="711" spans="1:26" ht="16.5" customHeight="1">
      <c r="A711" s="237"/>
      <c r="B711" s="237"/>
      <c r="C711" s="237"/>
      <c r="D711" s="226"/>
      <c r="E711" s="226"/>
      <c r="F711" s="226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226"/>
      <c r="S711" s="226"/>
      <c r="T711" s="226"/>
      <c r="U711" s="226"/>
      <c r="V711" s="226"/>
      <c r="W711" s="226"/>
      <c r="X711" s="226"/>
      <c r="Y711" s="226"/>
      <c r="Z711" s="226"/>
    </row>
    <row r="712" spans="1:26" ht="16.5" customHeight="1">
      <c r="A712" s="237"/>
      <c r="B712" s="237"/>
      <c r="C712" s="237"/>
      <c r="D712" s="226"/>
      <c r="E712" s="226"/>
      <c r="F712" s="226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226"/>
      <c r="S712" s="226"/>
      <c r="T712" s="226"/>
      <c r="U712" s="226"/>
      <c r="V712" s="226"/>
      <c r="W712" s="226"/>
      <c r="X712" s="226"/>
      <c r="Y712" s="226"/>
      <c r="Z712" s="226"/>
    </row>
    <row r="713" spans="1:26" ht="16.5" customHeight="1">
      <c r="A713" s="237"/>
      <c r="B713" s="237"/>
      <c r="C713" s="237"/>
      <c r="D713" s="226"/>
      <c r="E713" s="226"/>
      <c r="F713" s="226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226"/>
      <c r="S713" s="226"/>
      <c r="T713" s="226"/>
      <c r="U713" s="226"/>
      <c r="V713" s="226"/>
      <c r="W713" s="226"/>
      <c r="X713" s="226"/>
      <c r="Y713" s="226"/>
      <c r="Z713" s="226"/>
    </row>
    <row r="714" spans="1:26" ht="16.5" customHeight="1">
      <c r="A714" s="237"/>
      <c r="B714" s="237"/>
      <c r="C714" s="237"/>
      <c r="D714" s="226"/>
      <c r="E714" s="226"/>
      <c r="F714" s="226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226"/>
      <c r="S714" s="226"/>
      <c r="T714" s="226"/>
      <c r="U714" s="226"/>
      <c r="V714" s="226"/>
      <c r="W714" s="226"/>
      <c r="X714" s="226"/>
      <c r="Y714" s="226"/>
      <c r="Z714" s="226"/>
    </row>
    <row r="715" spans="1:26" ht="16.5" customHeight="1">
      <c r="A715" s="237"/>
      <c r="B715" s="237"/>
      <c r="C715" s="237"/>
      <c r="D715" s="226"/>
      <c r="E715" s="226"/>
      <c r="F715" s="226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226"/>
      <c r="S715" s="226"/>
      <c r="T715" s="226"/>
      <c r="U715" s="226"/>
      <c r="V715" s="226"/>
      <c r="W715" s="226"/>
      <c r="X715" s="226"/>
      <c r="Y715" s="226"/>
      <c r="Z715" s="226"/>
    </row>
    <row r="716" spans="1:26" ht="16.5" customHeight="1">
      <c r="A716" s="237"/>
      <c r="B716" s="237"/>
      <c r="C716" s="237"/>
      <c r="D716" s="226"/>
      <c r="E716" s="226"/>
      <c r="F716" s="226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226"/>
      <c r="S716" s="226"/>
      <c r="T716" s="226"/>
      <c r="U716" s="226"/>
      <c r="V716" s="226"/>
      <c r="W716" s="226"/>
      <c r="X716" s="226"/>
      <c r="Y716" s="226"/>
      <c r="Z716" s="226"/>
    </row>
    <row r="717" spans="1:26" ht="16.5" customHeight="1">
      <c r="A717" s="237"/>
      <c r="B717" s="237"/>
      <c r="C717" s="237"/>
      <c r="D717" s="226"/>
      <c r="E717" s="226"/>
      <c r="F717" s="226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226"/>
      <c r="S717" s="226"/>
      <c r="T717" s="226"/>
      <c r="U717" s="226"/>
      <c r="V717" s="226"/>
      <c r="W717" s="226"/>
      <c r="X717" s="226"/>
      <c r="Y717" s="226"/>
      <c r="Z717" s="226"/>
    </row>
    <row r="718" spans="1:26" ht="16.5" customHeight="1">
      <c r="A718" s="237"/>
      <c r="B718" s="237"/>
      <c r="C718" s="237"/>
      <c r="D718" s="226"/>
      <c r="E718" s="226"/>
      <c r="F718" s="226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226"/>
      <c r="S718" s="226"/>
      <c r="T718" s="226"/>
      <c r="U718" s="226"/>
      <c r="V718" s="226"/>
      <c r="W718" s="226"/>
      <c r="X718" s="226"/>
      <c r="Y718" s="226"/>
      <c r="Z718" s="226"/>
    </row>
    <row r="719" spans="1:26" ht="16.5" customHeight="1">
      <c r="A719" s="237"/>
      <c r="B719" s="237"/>
      <c r="C719" s="237"/>
      <c r="D719" s="226"/>
      <c r="E719" s="226"/>
      <c r="F719" s="226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226"/>
      <c r="S719" s="226"/>
      <c r="T719" s="226"/>
      <c r="U719" s="226"/>
      <c r="V719" s="226"/>
      <c r="W719" s="226"/>
      <c r="X719" s="226"/>
      <c r="Y719" s="226"/>
      <c r="Z719" s="226"/>
    </row>
    <row r="720" spans="1:26" ht="16.5" customHeight="1">
      <c r="A720" s="237"/>
      <c r="B720" s="237"/>
      <c r="C720" s="237"/>
      <c r="D720" s="226"/>
      <c r="E720" s="226"/>
      <c r="F720" s="226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226"/>
      <c r="S720" s="226"/>
      <c r="T720" s="226"/>
      <c r="U720" s="226"/>
      <c r="V720" s="226"/>
      <c r="W720" s="226"/>
      <c r="X720" s="226"/>
      <c r="Y720" s="226"/>
      <c r="Z720" s="226"/>
    </row>
    <row r="721" spans="1:26" ht="16.5" customHeight="1">
      <c r="A721" s="237"/>
      <c r="B721" s="237"/>
      <c r="C721" s="237"/>
      <c r="D721" s="226"/>
      <c r="E721" s="226"/>
      <c r="F721" s="226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226"/>
      <c r="S721" s="226"/>
      <c r="T721" s="226"/>
      <c r="U721" s="226"/>
      <c r="V721" s="226"/>
      <c r="W721" s="226"/>
      <c r="X721" s="226"/>
      <c r="Y721" s="226"/>
      <c r="Z721" s="226"/>
    </row>
    <row r="722" spans="1:26" ht="16.5" customHeight="1">
      <c r="A722" s="237"/>
      <c r="B722" s="237"/>
      <c r="C722" s="237"/>
      <c r="D722" s="226"/>
      <c r="E722" s="226"/>
      <c r="F722" s="226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226"/>
      <c r="S722" s="226"/>
      <c r="T722" s="226"/>
      <c r="U722" s="226"/>
      <c r="V722" s="226"/>
      <c r="W722" s="226"/>
      <c r="X722" s="226"/>
      <c r="Y722" s="226"/>
      <c r="Z722" s="226"/>
    </row>
    <row r="723" spans="1:26" ht="16.5" customHeight="1">
      <c r="A723" s="237"/>
      <c r="B723" s="237"/>
      <c r="C723" s="237"/>
      <c r="D723" s="226"/>
      <c r="E723" s="226"/>
      <c r="F723" s="226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226"/>
      <c r="S723" s="226"/>
      <c r="T723" s="226"/>
      <c r="U723" s="226"/>
      <c r="V723" s="226"/>
      <c r="W723" s="226"/>
      <c r="X723" s="226"/>
      <c r="Y723" s="226"/>
      <c r="Z723" s="226"/>
    </row>
    <row r="724" spans="1:26" ht="16.5" customHeight="1">
      <c r="A724" s="237"/>
      <c r="B724" s="237"/>
      <c r="C724" s="237"/>
      <c r="D724" s="226"/>
      <c r="E724" s="226"/>
      <c r="F724" s="226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226"/>
      <c r="S724" s="226"/>
      <c r="T724" s="226"/>
      <c r="U724" s="226"/>
      <c r="V724" s="226"/>
      <c r="W724" s="226"/>
      <c r="X724" s="226"/>
      <c r="Y724" s="226"/>
      <c r="Z724" s="226"/>
    </row>
    <row r="725" spans="1:26" ht="16.5" customHeight="1">
      <c r="A725" s="237"/>
      <c r="B725" s="237"/>
      <c r="C725" s="237"/>
      <c r="D725" s="226"/>
      <c r="E725" s="226"/>
      <c r="F725" s="226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226"/>
      <c r="S725" s="226"/>
      <c r="T725" s="226"/>
      <c r="U725" s="226"/>
      <c r="V725" s="226"/>
      <c r="W725" s="226"/>
      <c r="X725" s="226"/>
      <c r="Y725" s="226"/>
      <c r="Z725" s="226"/>
    </row>
    <row r="726" spans="1:26" ht="16.5" customHeight="1">
      <c r="A726" s="237"/>
      <c r="B726" s="237"/>
      <c r="C726" s="237"/>
      <c r="D726" s="226"/>
      <c r="E726" s="226"/>
      <c r="F726" s="226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226"/>
      <c r="S726" s="226"/>
      <c r="T726" s="226"/>
      <c r="U726" s="226"/>
      <c r="V726" s="226"/>
      <c r="W726" s="226"/>
      <c r="X726" s="226"/>
      <c r="Y726" s="226"/>
      <c r="Z726" s="226"/>
    </row>
    <row r="727" spans="1:26" ht="16.5" customHeight="1">
      <c r="A727" s="237"/>
      <c r="B727" s="237"/>
      <c r="C727" s="237"/>
      <c r="D727" s="226"/>
      <c r="E727" s="226"/>
      <c r="F727" s="226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226"/>
      <c r="S727" s="226"/>
      <c r="T727" s="226"/>
      <c r="U727" s="226"/>
      <c r="V727" s="226"/>
      <c r="W727" s="226"/>
      <c r="X727" s="226"/>
      <c r="Y727" s="226"/>
      <c r="Z727" s="226"/>
    </row>
    <row r="728" spans="1:26" ht="16.5" customHeight="1">
      <c r="A728" s="237"/>
      <c r="B728" s="237"/>
      <c r="C728" s="237"/>
      <c r="D728" s="226"/>
      <c r="E728" s="226"/>
      <c r="F728" s="226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226"/>
      <c r="S728" s="226"/>
      <c r="T728" s="226"/>
      <c r="U728" s="226"/>
      <c r="V728" s="226"/>
      <c r="W728" s="226"/>
      <c r="X728" s="226"/>
      <c r="Y728" s="226"/>
      <c r="Z728" s="226"/>
    </row>
    <row r="729" spans="1:26" ht="16.5" customHeight="1">
      <c r="A729" s="237"/>
      <c r="B729" s="237"/>
      <c r="C729" s="237"/>
      <c r="D729" s="226"/>
      <c r="E729" s="226"/>
      <c r="F729" s="226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226"/>
      <c r="S729" s="226"/>
      <c r="T729" s="226"/>
      <c r="U729" s="226"/>
      <c r="V729" s="226"/>
      <c r="W729" s="226"/>
      <c r="X729" s="226"/>
      <c r="Y729" s="226"/>
      <c r="Z729" s="226"/>
    </row>
    <row r="730" spans="1:26" ht="16.5" customHeight="1">
      <c r="A730" s="237"/>
      <c r="B730" s="237"/>
      <c r="C730" s="237"/>
      <c r="D730" s="226"/>
      <c r="E730" s="226"/>
      <c r="F730" s="226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226"/>
      <c r="S730" s="226"/>
      <c r="T730" s="226"/>
      <c r="U730" s="226"/>
      <c r="V730" s="226"/>
      <c r="W730" s="226"/>
      <c r="X730" s="226"/>
      <c r="Y730" s="226"/>
      <c r="Z730" s="226"/>
    </row>
    <row r="731" spans="1:26" ht="16.5" customHeight="1">
      <c r="A731" s="237"/>
      <c r="B731" s="237"/>
      <c r="C731" s="237"/>
      <c r="D731" s="226"/>
      <c r="E731" s="226"/>
      <c r="F731" s="226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226"/>
      <c r="S731" s="226"/>
      <c r="T731" s="226"/>
      <c r="U731" s="226"/>
      <c r="V731" s="226"/>
      <c r="W731" s="226"/>
      <c r="X731" s="226"/>
      <c r="Y731" s="226"/>
      <c r="Z731" s="226"/>
    </row>
    <row r="732" spans="1:26" ht="16.5" customHeight="1">
      <c r="A732" s="237"/>
      <c r="B732" s="237"/>
      <c r="C732" s="237"/>
      <c r="D732" s="226"/>
      <c r="E732" s="226"/>
      <c r="F732" s="226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226"/>
      <c r="S732" s="226"/>
      <c r="T732" s="226"/>
      <c r="U732" s="226"/>
      <c r="V732" s="226"/>
      <c r="W732" s="226"/>
      <c r="X732" s="226"/>
      <c r="Y732" s="226"/>
      <c r="Z732" s="226"/>
    </row>
    <row r="733" spans="1:26" ht="16.5" customHeight="1">
      <c r="A733" s="237"/>
      <c r="B733" s="237"/>
      <c r="C733" s="237"/>
      <c r="D733" s="226"/>
      <c r="E733" s="226"/>
      <c r="F733" s="226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226"/>
      <c r="S733" s="226"/>
      <c r="T733" s="226"/>
      <c r="U733" s="226"/>
      <c r="V733" s="226"/>
      <c r="W733" s="226"/>
      <c r="X733" s="226"/>
      <c r="Y733" s="226"/>
      <c r="Z733" s="226"/>
    </row>
    <row r="734" spans="1:26" ht="16.5" customHeight="1">
      <c r="A734" s="237"/>
      <c r="B734" s="237"/>
      <c r="C734" s="237"/>
      <c r="D734" s="226"/>
      <c r="E734" s="226"/>
      <c r="F734" s="226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226"/>
      <c r="S734" s="226"/>
      <c r="T734" s="226"/>
      <c r="U734" s="226"/>
      <c r="V734" s="226"/>
      <c r="W734" s="226"/>
      <c r="X734" s="226"/>
      <c r="Y734" s="226"/>
      <c r="Z734" s="226"/>
    </row>
    <row r="735" spans="1:26" ht="16.5" customHeight="1">
      <c r="A735" s="237"/>
      <c r="B735" s="237"/>
      <c r="C735" s="237"/>
      <c r="D735" s="226"/>
      <c r="E735" s="226"/>
      <c r="F735" s="226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226"/>
      <c r="S735" s="226"/>
      <c r="T735" s="226"/>
      <c r="U735" s="226"/>
      <c r="V735" s="226"/>
      <c r="W735" s="226"/>
      <c r="X735" s="226"/>
      <c r="Y735" s="226"/>
      <c r="Z735" s="226"/>
    </row>
    <row r="736" spans="1:26" ht="16.5" customHeight="1">
      <c r="A736" s="237"/>
      <c r="B736" s="237"/>
      <c r="C736" s="237"/>
      <c r="D736" s="226"/>
      <c r="E736" s="226"/>
      <c r="F736" s="226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226"/>
      <c r="S736" s="226"/>
      <c r="T736" s="226"/>
      <c r="U736" s="226"/>
      <c r="V736" s="226"/>
      <c r="W736" s="226"/>
      <c r="X736" s="226"/>
      <c r="Y736" s="226"/>
      <c r="Z736" s="226"/>
    </row>
    <row r="737" spans="1:26" ht="16.5" customHeight="1">
      <c r="A737" s="237"/>
      <c r="B737" s="237"/>
      <c r="C737" s="237"/>
      <c r="D737" s="226"/>
      <c r="E737" s="226"/>
      <c r="F737" s="226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226"/>
      <c r="S737" s="226"/>
      <c r="T737" s="226"/>
      <c r="U737" s="226"/>
      <c r="V737" s="226"/>
      <c r="W737" s="226"/>
      <c r="X737" s="226"/>
      <c r="Y737" s="226"/>
      <c r="Z737" s="226"/>
    </row>
    <row r="738" spans="1:26" ht="16.5" customHeight="1">
      <c r="A738" s="237"/>
      <c r="B738" s="237"/>
      <c r="C738" s="237"/>
      <c r="D738" s="226"/>
      <c r="E738" s="226"/>
      <c r="F738" s="226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226"/>
      <c r="S738" s="226"/>
      <c r="T738" s="226"/>
      <c r="U738" s="226"/>
      <c r="V738" s="226"/>
      <c r="W738" s="226"/>
      <c r="X738" s="226"/>
      <c r="Y738" s="226"/>
      <c r="Z738" s="226"/>
    </row>
    <row r="739" spans="1:26" ht="16.5" customHeight="1">
      <c r="A739" s="237"/>
      <c r="B739" s="237"/>
      <c r="C739" s="237"/>
      <c r="D739" s="226"/>
      <c r="E739" s="226"/>
      <c r="F739" s="226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226"/>
      <c r="S739" s="226"/>
      <c r="T739" s="226"/>
      <c r="U739" s="226"/>
      <c r="V739" s="226"/>
      <c r="W739" s="226"/>
      <c r="X739" s="226"/>
      <c r="Y739" s="226"/>
      <c r="Z739" s="226"/>
    </row>
    <row r="740" spans="1:26" ht="16.5" customHeight="1">
      <c r="A740" s="237"/>
      <c r="B740" s="237"/>
      <c r="C740" s="237"/>
      <c r="D740" s="226"/>
      <c r="E740" s="226"/>
      <c r="F740" s="226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226"/>
      <c r="S740" s="226"/>
      <c r="T740" s="226"/>
      <c r="U740" s="226"/>
      <c r="V740" s="226"/>
      <c r="W740" s="226"/>
      <c r="X740" s="226"/>
      <c r="Y740" s="226"/>
      <c r="Z740" s="226"/>
    </row>
    <row r="741" spans="1:26" ht="16.5" customHeight="1">
      <c r="A741" s="237"/>
      <c r="B741" s="237"/>
      <c r="C741" s="237"/>
      <c r="D741" s="226"/>
      <c r="E741" s="226"/>
      <c r="F741" s="226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226"/>
      <c r="S741" s="226"/>
      <c r="T741" s="226"/>
      <c r="U741" s="226"/>
      <c r="V741" s="226"/>
      <c r="W741" s="226"/>
      <c r="X741" s="226"/>
      <c r="Y741" s="226"/>
      <c r="Z741" s="226"/>
    </row>
    <row r="742" spans="1:26" ht="16.5" customHeight="1">
      <c r="A742" s="237"/>
      <c r="B742" s="237"/>
      <c r="C742" s="237"/>
      <c r="D742" s="226"/>
      <c r="E742" s="226"/>
      <c r="F742" s="226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226"/>
      <c r="S742" s="226"/>
      <c r="T742" s="226"/>
      <c r="U742" s="226"/>
      <c r="V742" s="226"/>
      <c r="W742" s="226"/>
      <c r="X742" s="226"/>
      <c r="Y742" s="226"/>
      <c r="Z742" s="226"/>
    </row>
    <row r="743" spans="1:26" ht="16.5" customHeight="1">
      <c r="A743" s="237"/>
      <c r="B743" s="237"/>
      <c r="C743" s="237"/>
      <c r="D743" s="226"/>
      <c r="E743" s="226"/>
      <c r="F743" s="226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226"/>
      <c r="S743" s="226"/>
      <c r="T743" s="226"/>
      <c r="U743" s="226"/>
      <c r="V743" s="226"/>
      <c r="W743" s="226"/>
      <c r="X743" s="226"/>
      <c r="Y743" s="226"/>
      <c r="Z743" s="226"/>
    </row>
    <row r="744" spans="1:26" ht="16.5" customHeight="1">
      <c r="A744" s="237"/>
      <c r="B744" s="237"/>
      <c r="C744" s="237"/>
      <c r="D744" s="226"/>
      <c r="E744" s="226"/>
      <c r="F744" s="226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226"/>
      <c r="S744" s="226"/>
      <c r="T744" s="226"/>
      <c r="U744" s="226"/>
      <c r="V744" s="226"/>
      <c r="W744" s="226"/>
      <c r="X744" s="226"/>
      <c r="Y744" s="226"/>
      <c r="Z744" s="226"/>
    </row>
    <row r="745" spans="1:26" ht="16.5" customHeight="1">
      <c r="A745" s="237"/>
      <c r="B745" s="237"/>
      <c r="C745" s="237"/>
      <c r="D745" s="226"/>
      <c r="E745" s="226"/>
      <c r="F745" s="226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226"/>
      <c r="S745" s="226"/>
      <c r="T745" s="226"/>
      <c r="U745" s="226"/>
      <c r="V745" s="226"/>
      <c r="W745" s="226"/>
      <c r="X745" s="226"/>
      <c r="Y745" s="226"/>
      <c r="Z745" s="226"/>
    </row>
    <row r="746" spans="1:26" ht="16.5" customHeight="1">
      <c r="A746" s="237"/>
      <c r="B746" s="237"/>
      <c r="C746" s="237"/>
      <c r="D746" s="226"/>
      <c r="E746" s="226"/>
      <c r="F746" s="226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226"/>
      <c r="S746" s="226"/>
      <c r="T746" s="226"/>
      <c r="U746" s="226"/>
      <c r="V746" s="226"/>
      <c r="W746" s="226"/>
      <c r="X746" s="226"/>
      <c r="Y746" s="226"/>
      <c r="Z746" s="226"/>
    </row>
    <row r="747" spans="1:26" ht="16.5" customHeight="1">
      <c r="A747" s="237"/>
      <c r="B747" s="237"/>
      <c r="C747" s="237"/>
      <c r="D747" s="226"/>
      <c r="E747" s="226"/>
      <c r="F747" s="226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226"/>
      <c r="S747" s="226"/>
      <c r="T747" s="226"/>
      <c r="U747" s="226"/>
      <c r="V747" s="226"/>
      <c r="W747" s="226"/>
      <c r="X747" s="226"/>
      <c r="Y747" s="226"/>
      <c r="Z747" s="226"/>
    </row>
    <row r="748" spans="1:26" ht="16.5" customHeight="1">
      <c r="A748" s="237"/>
      <c r="B748" s="237"/>
      <c r="C748" s="237"/>
      <c r="D748" s="226"/>
      <c r="E748" s="226"/>
      <c r="F748" s="226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226"/>
      <c r="S748" s="226"/>
      <c r="T748" s="226"/>
      <c r="U748" s="226"/>
      <c r="V748" s="226"/>
      <c r="W748" s="226"/>
      <c r="X748" s="226"/>
      <c r="Y748" s="226"/>
      <c r="Z748" s="226"/>
    </row>
    <row r="749" spans="1:26" ht="16.5" customHeight="1">
      <c r="A749" s="237"/>
      <c r="B749" s="237"/>
      <c r="C749" s="237"/>
      <c r="D749" s="226"/>
      <c r="E749" s="226"/>
      <c r="F749" s="226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226"/>
      <c r="S749" s="226"/>
      <c r="T749" s="226"/>
      <c r="U749" s="226"/>
      <c r="V749" s="226"/>
      <c r="W749" s="226"/>
      <c r="X749" s="226"/>
      <c r="Y749" s="226"/>
      <c r="Z749" s="226"/>
    </row>
    <row r="750" spans="1:26" ht="16.5" customHeight="1">
      <c r="A750" s="237"/>
      <c r="B750" s="237"/>
      <c r="C750" s="237"/>
      <c r="D750" s="226"/>
      <c r="E750" s="226"/>
      <c r="F750" s="226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226"/>
      <c r="S750" s="226"/>
      <c r="T750" s="226"/>
      <c r="U750" s="226"/>
      <c r="V750" s="226"/>
      <c r="W750" s="226"/>
      <c r="X750" s="226"/>
      <c r="Y750" s="226"/>
      <c r="Z750" s="226"/>
    </row>
    <row r="751" spans="1:26" ht="16.5" customHeight="1">
      <c r="A751" s="237"/>
      <c r="B751" s="237"/>
      <c r="C751" s="237"/>
      <c r="D751" s="226"/>
      <c r="E751" s="226"/>
      <c r="F751" s="226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226"/>
      <c r="S751" s="226"/>
      <c r="T751" s="226"/>
      <c r="U751" s="226"/>
      <c r="V751" s="226"/>
      <c r="W751" s="226"/>
      <c r="X751" s="226"/>
      <c r="Y751" s="226"/>
      <c r="Z751" s="226"/>
    </row>
    <row r="752" spans="1:26" ht="16.5" customHeight="1">
      <c r="A752" s="237"/>
      <c r="B752" s="237"/>
      <c r="C752" s="237"/>
      <c r="D752" s="226"/>
      <c r="E752" s="226"/>
      <c r="F752" s="226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226"/>
      <c r="S752" s="226"/>
      <c r="T752" s="226"/>
      <c r="U752" s="226"/>
      <c r="V752" s="226"/>
      <c r="W752" s="226"/>
      <c r="X752" s="226"/>
      <c r="Y752" s="226"/>
      <c r="Z752" s="226"/>
    </row>
    <row r="753" spans="1:26" ht="16.5" customHeight="1">
      <c r="A753" s="237"/>
      <c r="B753" s="237"/>
      <c r="C753" s="237"/>
      <c r="D753" s="226"/>
      <c r="E753" s="226"/>
      <c r="F753" s="226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226"/>
      <c r="S753" s="226"/>
      <c r="T753" s="226"/>
      <c r="U753" s="226"/>
      <c r="V753" s="226"/>
      <c r="W753" s="226"/>
      <c r="X753" s="226"/>
      <c r="Y753" s="226"/>
      <c r="Z753" s="226"/>
    </row>
    <row r="754" spans="1:26" ht="16.5" customHeight="1">
      <c r="A754" s="237"/>
      <c r="B754" s="237"/>
      <c r="C754" s="237"/>
      <c r="D754" s="226"/>
      <c r="E754" s="226"/>
      <c r="F754" s="226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226"/>
      <c r="S754" s="226"/>
      <c r="T754" s="226"/>
      <c r="U754" s="226"/>
      <c r="V754" s="226"/>
      <c r="W754" s="226"/>
      <c r="X754" s="226"/>
      <c r="Y754" s="226"/>
      <c r="Z754" s="226"/>
    </row>
    <row r="755" spans="1:26" ht="16.5" customHeight="1">
      <c r="A755" s="237"/>
      <c r="B755" s="237"/>
      <c r="C755" s="237"/>
      <c r="D755" s="226"/>
      <c r="E755" s="226"/>
      <c r="F755" s="226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226"/>
      <c r="S755" s="226"/>
      <c r="T755" s="226"/>
      <c r="U755" s="226"/>
      <c r="V755" s="226"/>
      <c r="W755" s="226"/>
      <c r="X755" s="226"/>
      <c r="Y755" s="226"/>
      <c r="Z755" s="226"/>
    </row>
    <row r="756" spans="1:26" ht="16.5" customHeight="1">
      <c r="A756" s="237"/>
      <c r="B756" s="237"/>
      <c r="C756" s="237"/>
      <c r="D756" s="226"/>
      <c r="E756" s="226"/>
      <c r="F756" s="226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226"/>
      <c r="S756" s="226"/>
      <c r="T756" s="226"/>
      <c r="U756" s="226"/>
      <c r="V756" s="226"/>
      <c r="W756" s="226"/>
      <c r="X756" s="226"/>
      <c r="Y756" s="226"/>
      <c r="Z756" s="226"/>
    </row>
    <row r="757" spans="1:26" ht="16.5" customHeight="1">
      <c r="A757" s="237"/>
      <c r="B757" s="237"/>
      <c r="C757" s="237"/>
      <c r="D757" s="226"/>
      <c r="E757" s="226"/>
      <c r="F757" s="226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226"/>
      <c r="S757" s="226"/>
      <c r="T757" s="226"/>
      <c r="U757" s="226"/>
      <c r="V757" s="226"/>
      <c r="W757" s="226"/>
      <c r="X757" s="226"/>
      <c r="Y757" s="226"/>
      <c r="Z757" s="226"/>
    </row>
    <row r="758" spans="1:26" ht="16.5" customHeight="1">
      <c r="A758" s="237"/>
      <c r="B758" s="237"/>
      <c r="C758" s="237"/>
      <c r="D758" s="226"/>
      <c r="E758" s="226"/>
      <c r="F758" s="226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226"/>
      <c r="S758" s="226"/>
      <c r="T758" s="226"/>
      <c r="U758" s="226"/>
      <c r="V758" s="226"/>
      <c r="W758" s="226"/>
      <c r="X758" s="226"/>
      <c r="Y758" s="226"/>
      <c r="Z758" s="226"/>
    </row>
    <row r="759" spans="1:26" ht="16.5" customHeight="1">
      <c r="A759" s="237"/>
      <c r="B759" s="237"/>
      <c r="C759" s="237"/>
      <c r="D759" s="226"/>
      <c r="E759" s="226"/>
      <c r="F759" s="226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226"/>
      <c r="S759" s="226"/>
      <c r="T759" s="226"/>
      <c r="U759" s="226"/>
      <c r="V759" s="226"/>
      <c r="W759" s="226"/>
      <c r="X759" s="226"/>
      <c r="Y759" s="226"/>
      <c r="Z759" s="226"/>
    </row>
    <row r="760" spans="1:26" ht="16.5" customHeight="1">
      <c r="A760" s="237"/>
      <c r="B760" s="237"/>
      <c r="C760" s="237"/>
      <c r="D760" s="226"/>
      <c r="E760" s="226"/>
      <c r="F760" s="226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226"/>
      <c r="S760" s="226"/>
      <c r="T760" s="226"/>
      <c r="U760" s="226"/>
      <c r="V760" s="226"/>
      <c r="W760" s="226"/>
      <c r="X760" s="226"/>
      <c r="Y760" s="226"/>
      <c r="Z760" s="226"/>
    </row>
    <row r="761" spans="1:26" ht="16.5" customHeight="1">
      <c r="A761" s="237"/>
      <c r="B761" s="237"/>
      <c r="C761" s="237"/>
      <c r="D761" s="226"/>
      <c r="E761" s="226"/>
      <c r="F761" s="226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226"/>
      <c r="S761" s="226"/>
      <c r="T761" s="226"/>
      <c r="U761" s="226"/>
      <c r="V761" s="226"/>
      <c r="W761" s="226"/>
      <c r="X761" s="226"/>
      <c r="Y761" s="226"/>
      <c r="Z761" s="226"/>
    </row>
    <row r="762" spans="1:26" ht="16.5" customHeight="1">
      <c r="A762" s="237"/>
      <c r="B762" s="237"/>
      <c r="C762" s="237"/>
      <c r="D762" s="226"/>
      <c r="E762" s="226"/>
      <c r="F762" s="226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226"/>
      <c r="S762" s="226"/>
      <c r="T762" s="226"/>
      <c r="U762" s="226"/>
      <c r="V762" s="226"/>
      <c r="W762" s="226"/>
      <c r="X762" s="226"/>
      <c r="Y762" s="226"/>
      <c r="Z762" s="226"/>
    </row>
    <row r="763" spans="1:26" ht="16.5" customHeight="1">
      <c r="A763" s="237"/>
      <c r="B763" s="237"/>
      <c r="C763" s="237"/>
      <c r="D763" s="226"/>
      <c r="E763" s="226"/>
      <c r="F763" s="226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226"/>
      <c r="S763" s="226"/>
      <c r="T763" s="226"/>
      <c r="U763" s="226"/>
      <c r="V763" s="226"/>
      <c r="W763" s="226"/>
      <c r="X763" s="226"/>
      <c r="Y763" s="226"/>
      <c r="Z763" s="226"/>
    </row>
    <row r="764" spans="1:26" ht="16.5" customHeight="1">
      <c r="A764" s="237"/>
      <c r="B764" s="237"/>
      <c r="C764" s="237"/>
      <c r="D764" s="226"/>
      <c r="E764" s="226"/>
      <c r="F764" s="226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226"/>
      <c r="S764" s="226"/>
      <c r="T764" s="226"/>
      <c r="U764" s="226"/>
      <c r="V764" s="226"/>
      <c r="W764" s="226"/>
      <c r="X764" s="226"/>
      <c r="Y764" s="226"/>
      <c r="Z764" s="226"/>
    </row>
    <row r="765" spans="1:26" ht="16.5" customHeight="1">
      <c r="A765" s="237"/>
      <c r="B765" s="237"/>
      <c r="C765" s="237"/>
      <c r="D765" s="226"/>
      <c r="E765" s="226"/>
      <c r="F765" s="226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226"/>
      <c r="S765" s="226"/>
      <c r="T765" s="226"/>
      <c r="U765" s="226"/>
      <c r="V765" s="226"/>
      <c r="W765" s="226"/>
      <c r="X765" s="226"/>
      <c r="Y765" s="226"/>
      <c r="Z765" s="226"/>
    </row>
    <row r="766" spans="1:26" ht="16.5" customHeight="1">
      <c r="A766" s="237"/>
      <c r="B766" s="237"/>
      <c r="C766" s="237"/>
      <c r="D766" s="226"/>
      <c r="E766" s="226"/>
      <c r="F766" s="226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226"/>
      <c r="S766" s="226"/>
      <c r="T766" s="226"/>
      <c r="U766" s="226"/>
      <c r="V766" s="226"/>
      <c r="W766" s="226"/>
      <c r="X766" s="226"/>
      <c r="Y766" s="226"/>
      <c r="Z766" s="226"/>
    </row>
    <row r="767" spans="1:26" ht="16.5" customHeight="1">
      <c r="A767" s="237"/>
      <c r="B767" s="237"/>
      <c r="C767" s="237"/>
      <c r="D767" s="226"/>
      <c r="E767" s="226"/>
      <c r="F767" s="226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226"/>
      <c r="S767" s="226"/>
      <c r="T767" s="226"/>
      <c r="U767" s="226"/>
      <c r="V767" s="226"/>
      <c r="W767" s="226"/>
      <c r="X767" s="226"/>
      <c r="Y767" s="226"/>
      <c r="Z767" s="226"/>
    </row>
    <row r="768" spans="1:26" ht="16.5" customHeight="1">
      <c r="A768" s="237"/>
      <c r="B768" s="237"/>
      <c r="C768" s="237"/>
      <c r="D768" s="226"/>
      <c r="E768" s="226"/>
      <c r="F768" s="226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226"/>
      <c r="S768" s="226"/>
      <c r="T768" s="226"/>
      <c r="U768" s="226"/>
      <c r="V768" s="226"/>
      <c r="W768" s="226"/>
      <c r="X768" s="226"/>
      <c r="Y768" s="226"/>
      <c r="Z768" s="226"/>
    </row>
    <row r="769" spans="1:26" ht="16.5" customHeight="1">
      <c r="A769" s="237"/>
      <c r="B769" s="237"/>
      <c r="C769" s="237"/>
      <c r="D769" s="226"/>
      <c r="E769" s="226"/>
      <c r="F769" s="226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226"/>
      <c r="S769" s="226"/>
      <c r="T769" s="226"/>
      <c r="U769" s="226"/>
      <c r="V769" s="226"/>
      <c r="W769" s="226"/>
      <c r="X769" s="226"/>
      <c r="Y769" s="226"/>
      <c r="Z769" s="226"/>
    </row>
    <row r="770" spans="1:26" ht="16.5" customHeight="1">
      <c r="A770" s="237"/>
      <c r="B770" s="237"/>
      <c r="C770" s="237"/>
      <c r="D770" s="226"/>
      <c r="E770" s="226"/>
      <c r="F770" s="226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226"/>
      <c r="S770" s="226"/>
      <c r="T770" s="226"/>
      <c r="U770" s="226"/>
      <c r="V770" s="226"/>
      <c r="W770" s="226"/>
      <c r="X770" s="226"/>
      <c r="Y770" s="226"/>
      <c r="Z770" s="226"/>
    </row>
    <row r="771" spans="1:26" ht="16.5" customHeight="1">
      <c r="A771" s="237"/>
      <c r="B771" s="237"/>
      <c r="C771" s="237"/>
      <c r="D771" s="226"/>
      <c r="E771" s="226"/>
      <c r="F771" s="226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226"/>
      <c r="S771" s="226"/>
      <c r="T771" s="226"/>
      <c r="U771" s="226"/>
      <c r="V771" s="226"/>
      <c r="W771" s="226"/>
      <c r="X771" s="226"/>
      <c r="Y771" s="226"/>
      <c r="Z771" s="226"/>
    </row>
    <row r="772" spans="1:26" ht="16.5" customHeight="1">
      <c r="A772" s="237"/>
      <c r="B772" s="237"/>
      <c r="C772" s="237"/>
      <c r="D772" s="226"/>
      <c r="E772" s="226"/>
      <c r="F772" s="226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226"/>
      <c r="S772" s="226"/>
      <c r="T772" s="226"/>
      <c r="U772" s="226"/>
      <c r="V772" s="226"/>
      <c r="W772" s="226"/>
      <c r="X772" s="226"/>
      <c r="Y772" s="226"/>
      <c r="Z772" s="226"/>
    </row>
    <row r="773" spans="1:26" ht="16.5" customHeight="1">
      <c r="A773" s="237"/>
      <c r="B773" s="237"/>
      <c r="C773" s="237"/>
      <c r="D773" s="226"/>
      <c r="E773" s="226"/>
      <c r="F773" s="226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226"/>
      <c r="S773" s="226"/>
      <c r="T773" s="226"/>
      <c r="U773" s="226"/>
      <c r="V773" s="226"/>
      <c r="W773" s="226"/>
      <c r="X773" s="226"/>
      <c r="Y773" s="226"/>
      <c r="Z773" s="226"/>
    </row>
    <row r="774" spans="1:26" ht="16.5" customHeight="1">
      <c r="A774" s="237"/>
      <c r="B774" s="237"/>
      <c r="C774" s="237"/>
      <c r="D774" s="226"/>
      <c r="E774" s="226"/>
      <c r="F774" s="226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226"/>
      <c r="S774" s="226"/>
      <c r="T774" s="226"/>
      <c r="U774" s="226"/>
      <c r="V774" s="226"/>
      <c r="W774" s="226"/>
      <c r="X774" s="226"/>
      <c r="Y774" s="226"/>
      <c r="Z774" s="226"/>
    </row>
    <row r="775" spans="1:26" ht="16.5" customHeight="1">
      <c r="A775" s="237"/>
      <c r="B775" s="237"/>
      <c r="C775" s="237"/>
      <c r="D775" s="226"/>
      <c r="E775" s="226"/>
      <c r="F775" s="226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226"/>
      <c r="S775" s="226"/>
      <c r="T775" s="226"/>
      <c r="U775" s="226"/>
      <c r="V775" s="226"/>
      <c r="W775" s="226"/>
      <c r="X775" s="226"/>
      <c r="Y775" s="226"/>
      <c r="Z775" s="226"/>
    </row>
    <row r="776" spans="1:26" ht="16.5" customHeight="1">
      <c r="A776" s="237"/>
      <c r="B776" s="237"/>
      <c r="C776" s="237"/>
      <c r="D776" s="226"/>
      <c r="E776" s="226"/>
      <c r="F776" s="226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226"/>
      <c r="S776" s="226"/>
      <c r="T776" s="226"/>
      <c r="U776" s="226"/>
      <c r="V776" s="226"/>
      <c r="W776" s="226"/>
      <c r="X776" s="226"/>
      <c r="Y776" s="226"/>
      <c r="Z776" s="226"/>
    </row>
    <row r="777" spans="1:26" ht="16.5" customHeight="1">
      <c r="A777" s="237"/>
      <c r="B777" s="237"/>
      <c r="C777" s="237"/>
      <c r="D777" s="226"/>
      <c r="E777" s="226"/>
      <c r="F777" s="226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226"/>
      <c r="S777" s="226"/>
      <c r="T777" s="226"/>
      <c r="U777" s="226"/>
      <c r="V777" s="226"/>
      <c r="W777" s="226"/>
      <c r="X777" s="226"/>
      <c r="Y777" s="226"/>
      <c r="Z777" s="226"/>
    </row>
    <row r="778" spans="1:26" ht="16.5" customHeight="1">
      <c r="A778" s="237"/>
      <c r="B778" s="237"/>
      <c r="C778" s="237"/>
      <c r="D778" s="226"/>
      <c r="E778" s="226"/>
      <c r="F778" s="226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226"/>
      <c r="S778" s="226"/>
      <c r="T778" s="226"/>
      <c r="U778" s="226"/>
      <c r="V778" s="226"/>
      <c r="W778" s="226"/>
      <c r="X778" s="226"/>
      <c r="Y778" s="226"/>
      <c r="Z778" s="226"/>
    </row>
    <row r="779" spans="1:26" ht="16.5" customHeight="1">
      <c r="A779" s="237"/>
      <c r="B779" s="237"/>
      <c r="C779" s="237"/>
      <c r="D779" s="226"/>
      <c r="E779" s="226"/>
      <c r="F779" s="226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26"/>
      <c r="S779" s="226"/>
      <c r="T779" s="226"/>
      <c r="U779" s="226"/>
      <c r="V779" s="226"/>
      <c r="W779" s="226"/>
      <c r="X779" s="226"/>
      <c r="Y779" s="226"/>
      <c r="Z779" s="226"/>
    </row>
    <row r="780" spans="1:26" ht="16.5" customHeight="1">
      <c r="A780" s="237"/>
      <c r="B780" s="237"/>
      <c r="C780" s="237"/>
      <c r="D780" s="226"/>
      <c r="E780" s="226"/>
      <c r="F780" s="226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226"/>
      <c r="S780" s="226"/>
      <c r="T780" s="226"/>
      <c r="U780" s="226"/>
      <c r="V780" s="226"/>
      <c r="W780" s="226"/>
      <c r="X780" s="226"/>
      <c r="Y780" s="226"/>
      <c r="Z780" s="226"/>
    </row>
    <row r="781" spans="1:26" ht="16.5" customHeight="1">
      <c r="A781" s="237"/>
      <c r="B781" s="237"/>
      <c r="C781" s="237"/>
      <c r="D781" s="226"/>
      <c r="E781" s="226"/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  <c r="T781" s="226"/>
      <c r="U781" s="226"/>
      <c r="V781" s="226"/>
      <c r="W781" s="226"/>
      <c r="X781" s="226"/>
      <c r="Y781" s="226"/>
      <c r="Z781" s="226"/>
    </row>
    <row r="782" spans="1:26" ht="16.5" customHeight="1">
      <c r="A782" s="237"/>
      <c r="B782" s="237"/>
      <c r="C782" s="237"/>
      <c r="D782" s="226"/>
      <c r="E782" s="226"/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  <c r="T782" s="226"/>
      <c r="U782" s="226"/>
      <c r="V782" s="226"/>
      <c r="W782" s="226"/>
      <c r="X782" s="226"/>
      <c r="Y782" s="226"/>
      <c r="Z782" s="226"/>
    </row>
    <row r="783" spans="1:26" ht="16.5" customHeight="1">
      <c r="A783" s="237"/>
      <c r="B783" s="237"/>
      <c r="C783" s="237"/>
      <c r="D783" s="226"/>
      <c r="E783" s="226"/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  <c r="T783" s="226"/>
      <c r="U783" s="226"/>
      <c r="V783" s="226"/>
      <c r="W783" s="226"/>
      <c r="X783" s="226"/>
      <c r="Y783" s="226"/>
      <c r="Z783" s="226"/>
    </row>
    <row r="784" spans="1:26" ht="16.5" customHeight="1">
      <c r="A784" s="237"/>
      <c r="B784" s="237"/>
      <c r="C784" s="237"/>
      <c r="D784" s="226"/>
      <c r="E784" s="226"/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  <c r="T784" s="226"/>
      <c r="U784" s="226"/>
      <c r="V784" s="226"/>
      <c r="W784" s="226"/>
      <c r="X784" s="226"/>
      <c r="Y784" s="226"/>
      <c r="Z784" s="226"/>
    </row>
    <row r="785" spans="1:26" ht="16.5" customHeight="1">
      <c r="A785" s="237"/>
      <c r="B785" s="237"/>
      <c r="C785" s="237"/>
      <c r="D785" s="226"/>
      <c r="E785" s="226"/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  <c r="T785" s="226"/>
      <c r="U785" s="226"/>
      <c r="V785" s="226"/>
      <c r="W785" s="226"/>
      <c r="X785" s="226"/>
      <c r="Y785" s="226"/>
      <c r="Z785" s="226"/>
    </row>
    <row r="786" spans="1:26" ht="16.5" customHeight="1">
      <c r="A786" s="237"/>
      <c r="B786" s="237"/>
      <c r="C786" s="237"/>
      <c r="D786" s="226"/>
      <c r="E786" s="226"/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  <c r="T786" s="226"/>
      <c r="U786" s="226"/>
      <c r="V786" s="226"/>
      <c r="W786" s="226"/>
      <c r="X786" s="226"/>
      <c r="Y786" s="226"/>
      <c r="Z786" s="226"/>
    </row>
    <row r="787" spans="1:26" ht="16.5" customHeight="1">
      <c r="A787" s="237"/>
      <c r="B787" s="237"/>
      <c r="C787" s="237"/>
      <c r="D787" s="226"/>
      <c r="E787" s="226"/>
      <c r="F787" s="226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226"/>
      <c r="S787" s="226"/>
      <c r="T787" s="226"/>
      <c r="U787" s="226"/>
      <c r="V787" s="226"/>
      <c r="W787" s="226"/>
      <c r="X787" s="226"/>
      <c r="Y787" s="226"/>
      <c r="Z787" s="226"/>
    </row>
    <row r="788" spans="1:26" ht="16.5" customHeight="1">
      <c r="A788" s="237"/>
      <c r="B788" s="237"/>
      <c r="C788" s="237"/>
      <c r="D788" s="226"/>
      <c r="E788" s="226"/>
      <c r="F788" s="226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226"/>
      <c r="S788" s="226"/>
      <c r="T788" s="226"/>
      <c r="U788" s="226"/>
      <c r="V788" s="226"/>
      <c r="W788" s="226"/>
      <c r="X788" s="226"/>
      <c r="Y788" s="226"/>
      <c r="Z788" s="226"/>
    </row>
    <row r="789" spans="1:26" ht="16.5" customHeight="1">
      <c r="A789" s="237"/>
      <c r="B789" s="237"/>
      <c r="C789" s="237"/>
      <c r="D789" s="226"/>
      <c r="E789" s="226"/>
      <c r="F789" s="226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226"/>
      <c r="S789" s="226"/>
      <c r="T789" s="226"/>
      <c r="U789" s="226"/>
      <c r="V789" s="226"/>
      <c r="W789" s="226"/>
      <c r="X789" s="226"/>
      <c r="Y789" s="226"/>
      <c r="Z789" s="226"/>
    </row>
    <row r="790" spans="1:26" ht="16.5" customHeight="1">
      <c r="A790" s="237"/>
      <c r="B790" s="237"/>
      <c r="C790" s="237"/>
      <c r="D790" s="226"/>
      <c r="E790" s="226"/>
      <c r="F790" s="226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226"/>
      <c r="S790" s="226"/>
      <c r="T790" s="226"/>
      <c r="U790" s="226"/>
      <c r="V790" s="226"/>
      <c r="W790" s="226"/>
      <c r="X790" s="226"/>
      <c r="Y790" s="226"/>
      <c r="Z790" s="226"/>
    </row>
    <row r="791" spans="1:26" ht="16.5" customHeight="1">
      <c r="A791" s="237"/>
      <c r="B791" s="237"/>
      <c r="C791" s="237"/>
      <c r="D791" s="226"/>
      <c r="E791" s="226"/>
      <c r="F791" s="226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226"/>
      <c r="S791" s="226"/>
      <c r="T791" s="226"/>
      <c r="U791" s="226"/>
      <c r="V791" s="226"/>
      <c r="W791" s="226"/>
      <c r="X791" s="226"/>
      <c r="Y791" s="226"/>
      <c r="Z791" s="226"/>
    </row>
    <row r="792" spans="1:26" ht="16.5" customHeight="1">
      <c r="A792" s="237"/>
      <c r="B792" s="237"/>
      <c r="C792" s="237"/>
      <c r="D792" s="226"/>
      <c r="E792" s="226"/>
      <c r="F792" s="226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226"/>
      <c r="S792" s="226"/>
      <c r="T792" s="226"/>
      <c r="U792" s="226"/>
      <c r="V792" s="226"/>
      <c r="W792" s="226"/>
      <c r="X792" s="226"/>
      <c r="Y792" s="226"/>
      <c r="Z792" s="226"/>
    </row>
    <row r="793" spans="1:26" ht="16.5" customHeight="1">
      <c r="A793" s="237"/>
      <c r="B793" s="237"/>
      <c r="C793" s="237"/>
      <c r="D793" s="226"/>
      <c r="E793" s="226"/>
      <c r="F793" s="226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226"/>
      <c r="S793" s="226"/>
      <c r="T793" s="226"/>
      <c r="U793" s="226"/>
      <c r="V793" s="226"/>
      <c r="W793" s="226"/>
      <c r="X793" s="226"/>
      <c r="Y793" s="226"/>
      <c r="Z793" s="226"/>
    </row>
    <row r="794" spans="1:26" ht="16.5" customHeight="1">
      <c r="A794" s="237"/>
      <c r="B794" s="237"/>
      <c r="C794" s="237"/>
      <c r="D794" s="226"/>
      <c r="E794" s="226"/>
      <c r="F794" s="226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226"/>
      <c r="S794" s="226"/>
      <c r="T794" s="226"/>
      <c r="U794" s="226"/>
      <c r="V794" s="226"/>
      <c r="W794" s="226"/>
      <c r="X794" s="226"/>
      <c r="Y794" s="226"/>
      <c r="Z794" s="226"/>
    </row>
    <row r="795" spans="1:26" ht="16.5" customHeight="1">
      <c r="A795" s="237"/>
      <c r="B795" s="237"/>
      <c r="C795" s="237"/>
      <c r="D795" s="226"/>
      <c r="E795" s="226"/>
      <c r="F795" s="226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226"/>
      <c r="S795" s="226"/>
      <c r="T795" s="226"/>
      <c r="U795" s="226"/>
      <c r="V795" s="226"/>
      <c r="W795" s="226"/>
      <c r="X795" s="226"/>
      <c r="Y795" s="226"/>
      <c r="Z795" s="226"/>
    </row>
    <row r="796" spans="1:26" ht="16.5" customHeight="1">
      <c r="A796" s="237"/>
      <c r="B796" s="237"/>
      <c r="C796" s="237"/>
      <c r="D796" s="226"/>
      <c r="E796" s="226"/>
      <c r="F796" s="226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226"/>
      <c r="S796" s="226"/>
      <c r="T796" s="226"/>
      <c r="U796" s="226"/>
      <c r="V796" s="226"/>
      <c r="W796" s="226"/>
      <c r="X796" s="226"/>
      <c r="Y796" s="226"/>
      <c r="Z796" s="226"/>
    </row>
    <row r="797" spans="1:26" ht="16.5" customHeight="1">
      <c r="A797" s="237"/>
      <c r="B797" s="237"/>
      <c r="C797" s="237"/>
      <c r="D797" s="226"/>
      <c r="E797" s="226"/>
      <c r="F797" s="226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226"/>
      <c r="S797" s="226"/>
      <c r="T797" s="226"/>
      <c r="U797" s="226"/>
      <c r="V797" s="226"/>
      <c r="W797" s="226"/>
      <c r="X797" s="226"/>
      <c r="Y797" s="226"/>
      <c r="Z797" s="226"/>
    </row>
    <row r="798" spans="1:26" ht="16.5" customHeight="1">
      <c r="A798" s="237"/>
      <c r="B798" s="237"/>
      <c r="C798" s="237"/>
      <c r="D798" s="226"/>
      <c r="E798" s="226"/>
      <c r="F798" s="226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226"/>
      <c r="S798" s="226"/>
      <c r="T798" s="226"/>
      <c r="U798" s="226"/>
      <c r="V798" s="226"/>
      <c r="W798" s="226"/>
      <c r="X798" s="226"/>
      <c r="Y798" s="226"/>
      <c r="Z798" s="226"/>
    </row>
    <row r="799" spans="1:26" ht="16.5" customHeight="1">
      <c r="A799" s="237"/>
      <c r="B799" s="237"/>
      <c r="C799" s="237"/>
      <c r="D799" s="226"/>
      <c r="E799" s="226"/>
      <c r="F799" s="226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226"/>
      <c r="S799" s="226"/>
      <c r="T799" s="226"/>
      <c r="U799" s="226"/>
      <c r="V799" s="226"/>
      <c r="W799" s="226"/>
      <c r="X799" s="226"/>
      <c r="Y799" s="226"/>
      <c r="Z799" s="226"/>
    </row>
    <row r="800" spans="1:26" ht="16.5" customHeight="1">
      <c r="A800" s="237"/>
      <c r="B800" s="237"/>
      <c r="C800" s="237"/>
      <c r="D800" s="226"/>
      <c r="E800" s="226"/>
      <c r="F800" s="226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226"/>
      <c r="S800" s="226"/>
      <c r="T800" s="226"/>
      <c r="U800" s="226"/>
      <c r="V800" s="226"/>
      <c r="W800" s="226"/>
      <c r="X800" s="226"/>
      <c r="Y800" s="226"/>
      <c r="Z800" s="226"/>
    </row>
    <row r="801" spans="1:26" ht="16.5" customHeight="1">
      <c r="A801" s="237"/>
      <c r="B801" s="237"/>
      <c r="C801" s="237"/>
      <c r="D801" s="226"/>
      <c r="E801" s="226"/>
      <c r="F801" s="226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226"/>
      <c r="S801" s="226"/>
      <c r="T801" s="226"/>
      <c r="U801" s="226"/>
      <c r="V801" s="226"/>
      <c r="W801" s="226"/>
      <c r="X801" s="226"/>
      <c r="Y801" s="226"/>
      <c r="Z801" s="226"/>
    </row>
    <row r="802" spans="1:26" ht="16.5" customHeight="1">
      <c r="A802" s="237"/>
      <c r="B802" s="237"/>
      <c r="C802" s="237"/>
      <c r="D802" s="226"/>
      <c r="E802" s="226"/>
      <c r="F802" s="226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226"/>
      <c r="S802" s="226"/>
      <c r="T802" s="226"/>
      <c r="U802" s="226"/>
      <c r="V802" s="226"/>
      <c r="W802" s="226"/>
      <c r="X802" s="226"/>
      <c r="Y802" s="226"/>
      <c r="Z802" s="226"/>
    </row>
    <row r="803" spans="1:26" ht="16.5" customHeight="1">
      <c r="A803" s="237"/>
      <c r="B803" s="237"/>
      <c r="C803" s="237"/>
      <c r="D803" s="226"/>
      <c r="E803" s="226"/>
      <c r="F803" s="226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226"/>
      <c r="S803" s="226"/>
      <c r="T803" s="226"/>
      <c r="U803" s="226"/>
      <c r="V803" s="226"/>
      <c r="W803" s="226"/>
      <c r="X803" s="226"/>
      <c r="Y803" s="226"/>
      <c r="Z803" s="226"/>
    </row>
    <row r="804" spans="1:26" ht="16.5" customHeight="1">
      <c r="A804" s="237"/>
      <c r="B804" s="237"/>
      <c r="C804" s="237"/>
      <c r="D804" s="226"/>
      <c r="E804" s="226"/>
      <c r="F804" s="226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226"/>
      <c r="S804" s="226"/>
      <c r="T804" s="226"/>
      <c r="U804" s="226"/>
      <c r="V804" s="226"/>
      <c r="W804" s="226"/>
      <c r="X804" s="226"/>
      <c r="Y804" s="226"/>
      <c r="Z804" s="226"/>
    </row>
    <row r="805" spans="1:26" ht="16.5" customHeight="1">
      <c r="A805" s="237"/>
      <c r="B805" s="237"/>
      <c r="C805" s="237"/>
      <c r="D805" s="226"/>
      <c r="E805" s="226"/>
      <c r="F805" s="226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226"/>
      <c r="S805" s="226"/>
      <c r="T805" s="226"/>
      <c r="U805" s="226"/>
      <c r="V805" s="226"/>
      <c r="W805" s="226"/>
      <c r="X805" s="226"/>
      <c r="Y805" s="226"/>
      <c r="Z805" s="226"/>
    </row>
    <row r="806" spans="1:26" ht="16.5" customHeight="1">
      <c r="A806" s="237"/>
      <c r="B806" s="237"/>
      <c r="C806" s="237"/>
      <c r="D806" s="226"/>
      <c r="E806" s="226"/>
      <c r="F806" s="226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226"/>
      <c r="S806" s="226"/>
      <c r="T806" s="226"/>
      <c r="U806" s="226"/>
      <c r="V806" s="226"/>
      <c r="W806" s="226"/>
      <c r="X806" s="226"/>
      <c r="Y806" s="226"/>
      <c r="Z806" s="226"/>
    </row>
    <row r="807" spans="1:26" ht="16.5" customHeight="1">
      <c r="A807" s="237"/>
      <c r="B807" s="237"/>
      <c r="C807" s="237"/>
      <c r="D807" s="226"/>
      <c r="E807" s="226"/>
      <c r="F807" s="226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226"/>
      <c r="S807" s="226"/>
      <c r="T807" s="226"/>
      <c r="U807" s="226"/>
      <c r="V807" s="226"/>
      <c r="W807" s="226"/>
      <c r="X807" s="226"/>
      <c r="Y807" s="226"/>
      <c r="Z807" s="226"/>
    </row>
    <row r="808" spans="1:26" ht="16.5" customHeight="1">
      <c r="A808" s="237"/>
      <c r="B808" s="237"/>
      <c r="C808" s="237"/>
      <c r="D808" s="226"/>
      <c r="E808" s="226"/>
      <c r="F808" s="226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226"/>
      <c r="S808" s="226"/>
      <c r="T808" s="226"/>
      <c r="U808" s="226"/>
      <c r="V808" s="226"/>
      <c r="W808" s="226"/>
      <c r="X808" s="226"/>
      <c r="Y808" s="226"/>
      <c r="Z808" s="226"/>
    </row>
    <row r="809" spans="1:26" ht="16.5" customHeight="1">
      <c r="A809" s="237"/>
      <c r="B809" s="237"/>
      <c r="C809" s="237"/>
      <c r="D809" s="226"/>
      <c r="E809" s="226"/>
      <c r="F809" s="226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226"/>
      <c r="S809" s="226"/>
      <c r="T809" s="226"/>
      <c r="U809" s="226"/>
      <c r="V809" s="226"/>
      <c r="W809" s="226"/>
      <c r="X809" s="226"/>
      <c r="Y809" s="226"/>
      <c r="Z809" s="226"/>
    </row>
    <row r="810" spans="1:26" ht="16.5" customHeight="1">
      <c r="A810" s="237"/>
      <c r="B810" s="237"/>
      <c r="C810" s="237"/>
      <c r="D810" s="226"/>
      <c r="E810" s="226"/>
      <c r="F810" s="226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226"/>
      <c r="S810" s="226"/>
      <c r="T810" s="226"/>
      <c r="U810" s="226"/>
      <c r="V810" s="226"/>
      <c r="W810" s="226"/>
      <c r="X810" s="226"/>
      <c r="Y810" s="226"/>
      <c r="Z810" s="226"/>
    </row>
    <row r="811" spans="1:26" ht="16.5" customHeight="1">
      <c r="A811" s="237"/>
      <c r="B811" s="237"/>
      <c r="C811" s="237"/>
      <c r="D811" s="226"/>
      <c r="E811" s="226"/>
      <c r="F811" s="226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226"/>
      <c r="S811" s="226"/>
      <c r="T811" s="226"/>
      <c r="U811" s="226"/>
      <c r="V811" s="226"/>
      <c r="W811" s="226"/>
      <c r="X811" s="226"/>
      <c r="Y811" s="226"/>
      <c r="Z811" s="226"/>
    </row>
    <row r="812" spans="1:26" ht="16.5" customHeight="1">
      <c r="A812" s="237"/>
      <c r="B812" s="237"/>
      <c r="C812" s="237"/>
      <c r="D812" s="226"/>
      <c r="E812" s="226"/>
      <c r="F812" s="226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226"/>
      <c r="S812" s="226"/>
      <c r="T812" s="226"/>
      <c r="U812" s="226"/>
      <c r="V812" s="226"/>
      <c r="W812" s="226"/>
      <c r="X812" s="226"/>
      <c r="Y812" s="226"/>
      <c r="Z812" s="226"/>
    </row>
    <row r="813" spans="1:26" ht="16.5" customHeight="1">
      <c r="A813" s="237"/>
      <c r="B813" s="237"/>
      <c r="C813" s="237"/>
      <c r="D813" s="226"/>
      <c r="E813" s="226"/>
      <c r="F813" s="226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226"/>
      <c r="S813" s="226"/>
      <c r="T813" s="226"/>
      <c r="U813" s="226"/>
      <c r="V813" s="226"/>
      <c r="W813" s="226"/>
      <c r="X813" s="226"/>
      <c r="Y813" s="226"/>
      <c r="Z813" s="226"/>
    </row>
    <row r="814" spans="1:26" ht="16.5" customHeight="1">
      <c r="A814" s="237"/>
      <c r="B814" s="237"/>
      <c r="C814" s="237"/>
      <c r="D814" s="226"/>
      <c r="E814" s="226"/>
      <c r="F814" s="226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226"/>
      <c r="S814" s="226"/>
      <c r="T814" s="226"/>
      <c r="U814" s="226"/>
      <c r="V814" s="226"/>
      <c r="W814" s="226"/>
      <c r="X814" s="226"/>
      <c r="Y814" s="226"/>
      <c r="Z814" s="226"/>
    </row>
    <row r="815" spans="1:26" ht="16.5" customHeight="1">
      <c r="A815" s="237"/>
      <c r="B815" s="237"/>
      <c r="C815" s="237"/>
      <c r="D815" s="226"/>
      <c r="E815" s="226"/>
      <c r="F815" s="226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226"/>
      <c r="S815" s="226"/>
      <c r="T815" s="226"/>
      <c r="U815" s="226"/>
      <c r="V815" s="226"/>
      <c r="W815" s="226"/>
      <c r="X815" s="226"/>
      <c r="Y815" s="226"/>
      <c r="Z815" s="226"/>
    </row>
    <row r="816" spans="1:26" ht="16.5" customHeight="1">
      <c r="A816" s="237"/>
      <c r="B816" s="237"/>
      <c r="C816" s="237"/>
      <c r="D816" s="226"/>
      <c r="E816" s="226"/>
      <c r="F816" s="226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226"/>
      <c r="S816" s="226"/>
      <c r="T816" s="226"/>
      <c r="U816" s="226"/>
      <c r="V816" s="226"/>
      <c r="W816" s="226"/>
      <c r="X816" s="226"/>
      <c r="Y816" s="226"/>
      <c r="Z816" s="226"/>
    </row>
    <row r="817" spans="1:26" ht="16.5" customHeight="1">
      <c r="A817" s="237"/>
      <c r="B817" s="237"/>
      <c r="C817" s="237"/>
      <c r="D817" s="226"/>
      <c r="E817" s="226"/>
      <c r="F817" s="226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226"/>
      <c r="S817" s="226"/>
      <c r="T817" s="226"/>
      <c r="U817" s="226"/>
      <c r="V817" s="226"/>
      <c r="W817" s="226"/>
      <c r="X817" s="226"/>
      <c r="Y817" s="226"/>
      <c r="Z817" s="226"/>
    </row>
    <row r="818" spans="1:26" ht="16.5" customHeight="1">
      <c r="A818" s="237"/>
      <c r="B818" s="237"/>
      <c r="C818" s="237"/>
      <c r="D818" s="226"/>
      <c r="E818" s="226"/>
      <c r="F818" s="226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226"/>
      <c r="S818" s="226"/>
      <c r="T818" s="226"/>
      <c r="U818" s="226"/>
      <c r="V818" s="226"/>
      <c r="W818" s="226"/>
      <c r="X818" s="226"/>
      <c r="Y818" s="226"/>
      <c r="Z818" s="226"/>
    </row>
    <row r="819" spans="1:26" ht="16.5" customHeight="1">
      <c r="A819" s="237"/>
      <c r="B819" s="237"/>
      <c r="C819" s="237"/>
      <c r="D819" s="226"/>
      <c r="E819" s="226"/>
      <c r="F819" s="226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226"/>
      <c r="S819" s="226"/>
      <c r="T819" s="226"/>
      <c r="U819" s="226"/>
      <c r="V819" s="226"/>
      <c r="W819" s="226"/>
      <c r="X819" s="226"/>
      <c r="Y819" s="226"/>
      <c r="Z819" s="226"/>
    </row>
    <row r="820" spans="1:26" ht="16.5" customHeight="1">
      <c r="A820" s="237"/>
      <c r="B820" s="237"/>
      <c r="C820" s="237"/>
      <c r="D820" s="226"/>
      <c r="E820" s="226"/>
      <c r="F820" s="226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226"/>
      <c r="S820" s="226"/>
      <c r="T820" s="226"/>
      <c r="U820" s="226"/>
      <c r="V820" s="226"/>
      <c r="W820" s="226"/>
      <c r="X820" s="226"/>
      <c r="Y820" s="226"/>
      <c r="Z820" s="226"/>
    </row>
    <row r="821" spans="1:26" ht="16.5" customHeight="1">
      <c r="A821" s="237"/>
      <c r="B821" s="237"/>
      <c r="C821" s="237"/>
      <c r="D821" s="226"/>
      <c r="E821" s="226"/>
      <c r="F821" s="226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226"/>
      <c r="S821" s="226"/>
      <c r="T821" s="226"/>
      <c r="U821" s="226"/>
      <c r="V821" s="226"/>
      <c r="W821" s="226"/>
      <c r="X821" s="226"/>
      <c r="Y821" s="226"/>
      <c r="Z821" s="226"/>
    </row>
    <row r="822" spans="1:26" ht="16.5" customHeight="1">
      <c r="A822" s="237"/>
      <c r="B822" s="237"/>
      <c r="C822" s="237"/>
      <c r="D822" s="226"/>
      <c r="E822" s="226"/>
      <c r="F822" s="226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226"/>
      <c r="S822" s="226"/>
      <c r="T822" s="226"/>
      <c r="U822" s="226"/>
      <c r="V822" s="226"/>
      <c r="W822" s="226"/>
      <c r="X822" s="226"/>
      <c r="Y822" s="226"/>
      <c r="Z822" s="226"/>
    </row>
    <row r="823" spans="1:26" ht="16.5" customHeight="1">
      <c r="A823" s="237"/>
      <c r="B823" s="237"/>
      <c r="C823" s="237"/>
      <c r="D823" s="226"/>
      <c r="E823" s="226"/>
      <c r="F823" s="226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226"/>
      <c r="S823" s="226"/>
      <c r="T823" s="226"/>
      <c r="U823" s="226"/>
      <c r="V823" s="226"/>
      <c r="W823" s="226"/>
      <c r="X823" s="226"/>
      <c r="Y823" s="226"/>
      <c r="Z823" s="226"/>
    </row>
    <row r="824" spans="1:26" ht="16.5" customHeight="1">
      <c r="A824" s="237"/>
      <c r="B824" s="237"/>
      <c r="C824" s="237"/>
      <c r="D824" s="226"/>
      <c r="E824" s="226"/>
      <c r="F824" s="226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226"/>
      <c r="S824" s="226"/>
      <c r="T824" s="226"/>
      <c r="U824" s="226"/>
      <c r="V824" s="226"/>
      <c r="W824" s="226"/>
      <c r="X824" s="226"/>
      <c r="Y824" s="226"/>
      <c r="Z824" s="226"/>
    </row>
    <row r="825" spans="1:26" ht="16.5" customHeight="1">
      <c r="A825" s="237"/>
      <c r="B825" s="237"/>
      <c r="C825" s="237"/>
      <c r="D825" s="226"/>
      <c r="E825" s="226"/>
      <c r="F825" s="226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226"/>
      <c r="S825" s="226"/>
      <c r="T825" s="226"/>
      <c r="U825" s="226"/>
      <c r="V825" s="226"/>
      <c r="W825" s="226"/>
      <c r="X825" s="226"/>
      <c r="Y825" s="226"/>
      <c r="Z825" s="226"/>
    </row>
    <row r="826" spans="1:26" ht="16.5" customHeight="1">
      <c r="A826" s="237"/>
      <c r="B826" s="237"/>
      <c r="C826" s="237"/>
      <c r="D826" s="226"/>
      <c r="E826" s="226"/>
      <c r="F826" s="226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226"/>
      <c r="S826" s="226"/>
      <c r="T826" s="226"/>
      <c r="U826" s="226"/>
      <c r="V826" s="226"/>
      <c r="W826" s="226"/>
      <c r="X826" s="226"/>
      <c r="Y826" s="226"/>
      <c r="Z826" s="226"/>
    </row>
    <row r="827" spans="1:26" ht="16.5" customHeight="1">
      <c r="A827" s="237"/>
      <c r="B827" s="237"/>
      <c r="C827" s="237"/>
      <c r="D827" s="226"/>
      <c r="E827" s="226"/>
      <c r="F827" s="226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226"/>
      <c r="S827" s="226"/>
      <c r="T827" s="226"/>
      <c r="U827" s="226"/>
      <c r="V827" s="226"/>
      <c r="W827" s="226"/>
      <c r="X827" s="226"/>
      <c r="Y827" s="226"/>
      <c r="Z827" s="226"/>
    </row>
    <row r="828" spans="1:26" ht="16.5" customHeight="1">
      <c r="A828" s="237"/>
      <c r="B828" s="237"/>
      <c r="C828" s="237"/>
      <c r="D828" s="226"/>
      <c r="E828" s="226"/>
      <c r="F828" s="226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226"/>
      <c r="S828" s="226"/>
      <c r="T828" s="226"/>
      <c r="U828" s="226"/>
      <c r="V828" s="226"/>
      <c r="W828" s="226"/>
      <c r="X828" s="226"/>
      <c r="Y828" s="226"/>
      <c r="Z828" s="226"/>
    </row>
    <row r="829" spans="1:26" ht="16.5" customHeight="1">
      <c r="A829" s="237"/>
      <c r="B829" s="237"/>
      <c r="C829" s="237"/>
      <c r="D829" s="226"/>
      <c r="E829" s="226"/>
      <c r="F829" s="226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226"/>
      <c r="S829" s="226"/>
      <c r="T829" s="226"/>
      <c r="U829" s="226"/>
      <c r="V829" s="226"/>
      <c r="W829" s="226"/>
      <c r="X829" s="226"/>
      <c r="Y829" s="226"/>
      <c r="Z829" s="226"/>
    </row>
    <row r="830" spans="1:26" ht="16.5" customHeight="1">
      <c r="A830" s="237"/>
      <c r="B830" s="237"/>
      <c r="C830" s="237"/>
      <c r="D830" s="226"/>
      <c r="E830" s="226"/>
      <c r="F830" s="226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226"/>
      <c r="S830" s="226"/>
      <c r="T830" s="226"/>
      <c r="U830" s="226"/>
      <c r="V830" s="226"/>
      <c r="W830" s="226"/>
      <c r="X830" s="226"/>
      <c r="Y830" s="226"/>
      <c r="Z830" s="226"/>
    </row>
    <row r="831" spans="1:26" ht="16.5" customHeight="1">
      <c r="A831" s="237"/>
      <c r="B831" s="237"/>
      <c r="C831" s="237"/>
      <c r="D831" s="226"/>
      <c r="E831" s="226"/>
      <c r="F831" s="226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226"/>
      <c r="S831" s="226"/>
      <c r="T831" s="226"/>
      <c r="U831" s="226"/>
      <c r="V831" s="226"/>
      <c r="W831" s="226"/>
      <c r="X831" s="226"/>
      <c r="Y831" s="226"/>
      <c r="Z831" s="226"/>
    </row>
    <row r="832" spans="1:26" ht="16.5" customHeight="1">
      <c r="A832" s="237"/>
      <c r="B832" s="237"/>
      <c r="C832" s="237"/>
      <c r="D832" s="226"/>
      <c r="E832" s="226"/>
      <c r="F832" s="226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226"/>
      <c r="S832" s="226"/>
      <c r="T832" s="226"/>
      <c r="U832" s="226"/>
      <c r="V832" s="226"/>
      <c r="W832" s="226"/>
      <c r="X832" s="226"/>
      <c r="Y832" s="226"/>
      <c r="Z832" s="226"/>
    </row>
    <row r="833" spans="1:26" ht="16.5" customHeight="1">
      <c r="A833" s="237"/>
      <c r="B833" s="237"/>
      <c r="C833" s="237"/>
      <c r="D833" s="226"/>
      <c r="E833" s="226"/>
      <c r="F833" s="226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226"/>
      <c r="S833" s="226"/>
      <c r="T833" s="226"/>
      <c r="U833" s="226"/>
      <c r="V833" s="226"/>
      <c r="W833" s="226"/>
      <c r="X833" s="226"/>
      <c r="Y833" s="226"/>
      <c r="Z833" s="226"/>
    </row>
    <row r="834" spans="1:26" ht="16.5" customHeight="1">
      <c r="A834" s="237"/>
      <c r="B834" s="237"/>
      <c r="C834" s="237"/>
      <c r="D834" s="226"/>
      <c r="E834" s="226"/>
      <c r="F834" s="226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226"/>
      <c r="S834" s="226"/>
      <c r="T834" s="226"/>
      <c r="U834" s="226"/>
      <c r="V834" s="226"/>
      <c r="W834" s="226"/>
      <c r="X834" s="226"/>
      <c r="Y834" s="226"/>
      <c r="Z834" s="226"/>
    </row>
    <row r="835" spans="1:26" ht="16.5" customHeight="1">
      <c r="A835" s="237"/>
      <c r="B835" s="237"/>
      <c r="C835" s="237"/>
      <c r="D835" s="226"/>
      <c r="E835" s="226"/>
      <c r="F835" s="226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226"/>
      <c r="S835" s="226"/>
      <c r="T835" s="226"/>
      <c r="U835" s="226"/>
      <c r="V835" s="226"/>
      <c r="W835" s="226"/>
      <c r="X835" s="226"/>
      <c r="Y835" s="226"/>
      <c r="Z835" s="226"/>
    </row>
    <row r="836" spans="1:26" ht="16.5" customHeight="1">
      <c r="A836" s="237"/>
      <c r="B836" s="237"/>
      <c r="C836" s="237"/>
      <c r="D836" s="226"/>
      <c r="E836" s="226"/>
      <c r="F836" s="226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226"/>
      <c r="S836" s="226"/>
      <c r="T836" s="226"/>
      <c r="U836" s="226"/>
      <c r="V836" s="226"/>
      <c r="W836" s="226"/>
      <c r="X836" s="226"/>
      <c r="Y836" s="226"/>
      <c r="Z836" s="226"/>
    </row>
    <row r="837" spans="1:26" ht="16.5" customHeight="1">
      <c r="A837" s="237"/>
      <c r="B837" s="237"/>
      <c r="C837" s="237"/>
      <c r="D837" s="226"/>
      <c r="E837" s="226"/>
      <c r="F837" s="226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226"/>
      <c r="S837" s="226"/>
      <c r="T837" s="226"/>
      <c r="U837" s="226"/>
      <c r="V837" s="226"/>
      <c r="W837" s="226"/>
      <c r="X837" s="226"/>
      <c r="Y837" s="226"/>
      <c r="Z837" s="226"/>
    </row>
    <row r="838" spans="1:26" ht="16.5" customHeight="1">
      <c r="A838" s="237"/>
      <c r="B838" s="237"/>
      <c r="C838" s="237"/>
      <c r="D838" s="226"/>
      <c r="E838" s="226"/>
      <c r="F838" s="226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226"/>
      <c r="S838" s="226"/>
      <c r="T838" s="226"/>
      <c r="U838" s="226"/>
      <c r="V838" s="226"/>
      <c r="W838" s="226"/>
      <c r="X838" s="226"/>
      <c r="Y838" s="226"/>
      <c r="Z838" s="226"/>
    </row>
    <row r="839" spans="1:26" ht="16.5" customHeight="1">
      <c r="A839" s="237"/>
      <c r="B839" s="237"/>
      <c r="C839" s="237"/>
      <c r="D839" s="226"/>
      <c r="E839" s="226"/>
      <c r="F839" s="226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226"/>
      <c r="S839" s="226"/>
      <c r="T839" s="226"/>
      <c r="U839" s="226"/>
      <c r="V839" s="226"/>
      <c r="W839" s="226"/>
      <c r="X839" s="226"/>
      <c r="Y839" s="226"/>
      <c r="Z839" s="226"/>
    </row>
    <row r="840" spans="1:26" ht="16.5" customHeight="1">
      <c r="A840" s="237"/>
      <c r="B840" s="237"/>
      <c r="C840" s="237"/>
      <c r="D840" s="226"/>
      <c r="E840" s="226"/>
      <c r="F840" s="226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226"/>
      <c r="S840" s="226"/>
      <c r="T840" s="226"/>
      <c r="U840" s="226"/>
      <c r="V840" s="226"/>
      <c r="W840" s="226"/>
      <c r="X840" s="226"/>
      <c r="Y840" s="226"/>
      <c r="Z840" s="226"/>
    </row>
    <row r="841" spans="1:26" ht="16.5" customHeight="1">
      <c r="A841" s="237"/>
      <c r="B841" s="237"/>
      <c r="C841" s="237"/>
      <c r="D841" s="226"/>
      <c r="E841" s="226"/>
      <c r="F841" s="226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226"/>
      <c r="S841" s="226"/>
      <c r="T841" s="226"/>
      <c r="U841" s="226"/>
      <c r="V841" s="226"/>
      <c r="W841" s="226"/>
      <c r="X841" s="226"/>
      <c r="Y841" s="226"/>
      <c r="Z841" s="226"/>
    </row>
    <row r="842" spans="1:26" ht="16.5" customHeight="1">
      <c r="A842" s="237"/>
      <c r="B842" s="237"/>
      <c r="C842" s="237"/>
      <c r="D842" s="226"/>
      <c r="E842" s="226"/>
      <c r="F842" s="226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226"/>
      <c r="S842" s="226"/>
      <c r="T842" s="226"/>
      <c r="U842" s="226"/>
      <c r="V842" s="226"/>
      <c r="W842" s="226"/>
      <c r="X842" s="226"/>
      <c r="Y842" s="226"/>
      <c r="Z842" s="226"/>
    </row>
    <row r="843" spans="1:26" ht="16.5" customHeight="1">
      <c r="A843" s="237"/>
      <c r="B843" s="237"/>
      <c r="C843" s="237"/>
      <c r="D843" s="226"/>
      <c r="E843" s="226"/>
      <c r="F843" s="226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226"/>
      <c r="S843" s="226"/>
      <c r="T843" s="226"/>
      <c r="U843" s="226"/>
      <c r="V843" s="226"/>
      <c r="W843" s="226"/>
      <c r="X843" s="226"/>
      <c r="Y843" s="226"/>
      <c r="Z843" s="226"/>
    </row>
    <row r="844" spans="1:26" ht="16.5" customHeight="1">
      <c r="A844" s="237"/>
      <c r="B844" s="237"/>
      <c r="C844" s="237"/>
      <c r="D844" s="226"/>
      <c r="E844" s="226"/>
      <c r="F844" s="226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226"/>
      <c r="S844" s="226"/>
      <c r="T844" s="226"/>
      <c r="U844" s="226"/>
      <c r="V844" s="226"/>
      <c r="W844" s="226"/>
      <c r="X844" s="226"/>
      <c r="Y844" s="226"/>
      <c r="Z844" s="226"/>
    </row>
    <row r="845" spans="1:26" ht="16.5" customHeight="1">
      <c r="A845" s="237"/>
      <c r="B845" s="237"/>
      <c r="C845" s="237"/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226"/>
      <c r="S845" s="226"/>
      <c r="T845" s="226"/>
      <c r="U845" s="226"/>
      <c r="V845" s="226"/>
      <c r="W845" s="226"/>
      <c r="X845" s="226"/>
      <c r="Y845" s="226"/>
      <c r="Z845" s="226"/>
    </row>
    <row r="846" spans="1:26" ht="16.5" customHeight="1">
      <c r="A846" s="237"/>
      <c r="B846" s="237"/>
      <c r="C846" s="237"/>
      <c r="D846" s="226"/>
      <c r="E846" s="226"/>
      <c r="F846" s="226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226"/>
      <c r="S846" s="226"/>
      <c r="T846" s="226"/>
      <c r="U846" s="226"/>
      <c r="V846" s="226"/>
      <c r="W846" s="226"/>
      <c r="X846" s="226"/>
      <c r="Y846" s="226"/>
      <c r="Z846" s="226"/>
    </row>
    <row r="847" spans="1:26" ht="16.5" customHeight="1">
      <c r="A847" s="237"/>
      <c r="B847" s="237"/>
      <c r="C847" s="237"/>
      <c r="D847" s="226"/>
      <c r="E847" s="226"/>
      <c r="F847" s="226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226"/>
      <c r="S847" s="226"/>
      <c r="T847" s="226"/>
      <c r="U847" s="226"/>
      <c r="V847" s="226"/>
      <c r="W847" s="226"/>
      <c r="X847" s="226"/>
      <c r="Y847" s="226"/>
      <c r="Z847" s="226"/>
    </row>
    <row r="848" spans="1:26" ht="16.5" customHeight="1">
      <c r="A848" s="237"/>
      <c r="B848" s="237"/>
      <c r="C848" s="237"/>
      <c r="D848" s="226"/>
      <c r="E848" s="226"/>
      <c r="F848" s="226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226"/>
      <c r="S848" s="226"/>
      <c r="T848" s="226"/>
      <c r="U848" s="226"/>
      <c r="V848" s="226"/>
      <c r="W848" s="226"/>
      <c r="X848" s="226"/>
      <c r="Y848" s="226"/>
      <c r="Z848" s="226"/>
    </row>
    <row r="849" spans="1:26" ht="16.5" customHeight="1">
      <c r="A849" s="237"/>
      <c r="B849" s="237"/>
      <c r="C849" s="237"/>
      <c r="D849" s="226"/>
      <c r="E849" s="226"/>
      <c r="F849" s="226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226"/>
      <c r="S849" s="226"/>
      <c r="T849" s="226"/>
      <c r="U849" s="226"/>
      <c r="V849" s="226"/>
      <c r="W849" s="226"/>
      <c r="X849" s="226"/>
      <c r="Y849" s="226"/>
      <c r="Z849" s="226"/>
    </row>
    <row r="850" spans="1:26" ht="16.5" customHeight="1">
      <c r="A850" s="237"/>
      <c r="B850" s="237"/>
      <c r="C850" s="237"/>
      <c r="D850" s="226"/>
      <c r="E850" s="226"/>
      <c r="F850" s="226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226"/>
      <c r="S850" s="226"/>
      <c r="T850" s="226"/>
      <c r="U850" s="226"/>
      <c r="V850" s="226"/>
      <c r="W850" s="226"/>
      <c r="X850" s="226"/>
      <c r="Y850" s="226"/>
      <c r="Z850" s="226"/>
    </row>
    <row r="851" spans="1:26" ht="16.5" customHeight="1">
      <c r="A851" s="237"/>
      <c r="B851" s="237"/>
      <c r="C851" s="237"/>
      <c r="D851" s="226"/>
      <c r="E851" s="226"/>
      <c r="F851" s="226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226"/>
      <c r="S851" s="226"/>
      <c r="T851" s="226"/>
      <c r="U851" s="226"/>
      <c r="V851" s="226"/>
      <c r="W851" s="226"/>
      <c r="X851" s="226"/>
      <c r="Y851" s="226"/>
      <c r="Z851" s="226"/>
    </row>
    <row r="852" spans="1:26" ht="16.5" customHeight="1">
      <c r="A852" s="237"/>
      <c r="B852" s="237"/>
      <c r="C852" s="237"/>
      <c r="D852" s="226"/>
      <c r="E852" s="226"/>
      <c r="F852" s="226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226"/>
      <c r="S852" s="226"/>
      <c r="T852" s="226"/>
      <c r="U852" s="226"/>
      <c r="V852" s="226"/>
      <c r="W852" s="226"/>
      <c r="X852" s="226"/>
      <c r="Y852" s="226"/>
      <c r="Z852" s="226"/>
    </row>
    <row r="853" spans="1:26" ht="16.5" customHeight="1">
      <c r="A853" s="237"/>
      <c r="B853" s="237"/>
      <c r="C853" s="237"/>
      <c r="D853" s="226"/>
      <c r="E853" s="226"/>
      <c r="F853" s="226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226"/>
      <c r="S853" s="226"/>
      <c r="T853" s="226"/>
      <c r="U853" s="226"/>
      <c r="V853" s="226"/>
      <c r="W853" s="226"/>
      <c r="X853" s="226"/>
      <c r="Y853" s="226"/>
      <c r="Z853" s="226"/>
    </row>
    <row r="854" spans="1:26" ht="16.5" customHeight="1">
      <c r="A854" s="237"/>
      <c r="B854" s="237"/>
      <c r="C854" s="237"/>
      <c r="D854" s="226"/>
      <c r="E854" s="226"/>
      <c r="F854" s="226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226"/>
      <c r="S854" s="226"/>
      <c r="T854" s="226"/>
      <c r="U854" s="226"/>
      <c r="V854" s="226"/>
      <c r="W854" s="226"/>
      <c r="X854" s="226"/>
      <c r="Y854" s="226"/>
      <c r="Z854" s="226"/>
    </row>
    <row r="855" spans="1:26" ht="16.5" customHeight="1">
      <c r="A855" s="237"/>
      <c r="B855" s="237"/>
      <c r="C855" s="237"/>
      <c r="D855" s="226"/>
      <c r="E855" s="226"/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26"/>
      <c r="T855" s="226"/>
      <c r="U855" s="226"/>
      <c r="V855" s="226"/>
      <c r="W855" s="226"/>
      <c r="X855" s="226"/>
      <c r="Y855" s="226"/>
      <c r="Z855" s="226"/>
    </row>
    <row r="856" spans="1:26" ht="16.5" customHeight="1">
      <c r="A856" s="237"/>
      <c r="B856" s="237"/>
      <c r="C856" s="237"/>
      <c r="D856" s="226"/>
      <c r="E856" s="226"/>
      <c r="F856" s="226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226"/>
      <c r="S856" s="226"/>
      <c r="T856" s="226"/>
      <c r="U856" s="226"/>
      <c r="V856" s="226"/>
      <c r="W856" s="226"/>
      <c r="X856" s="226"/>
      <c r="Y856" s="226"/>
      <c r="Z856" s="226"/>
    </row>
    <row r="857" spans="1:26" ht="16.5" customHeight="1">
      <c r="A857" s="237"/>
      <c r="B857" s="237"/>
      <c r="C857" s="237"/>
      <c r="D857" s="226"/>
      <c r="E857" s="226"/>
      <c r="F857" s="226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226"/>
      <c r="S857" s="226"/>
      <c r="T857" s="226"/>
      <c r="U857" s="226"/>
      <c r="V857" s="226"/>
      <c r="W857" s="226"/>
      <c r="X857" s="226"/>
      <c r="Y857" s="226"/>
      <c r="Z857" s="226"/>
    </row>
    <row r="858" spans="1:26" ht="16.5" customHeight="1">
      <c r="A858" s="237"/>
      <c r="B858" s="237"/>
      <c r="C858" s="237"/>
      <c r="D858" s="226"/>
      <c r="E858" s="226"/>
      <c r="F858" s="226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226"/>
      <c r="S858" s="226"/>
      <c r="T858" s="226"/>
      <c r="U858" s="226"/>
      <c r="V858" s="226"/>
      <c r="W858" s="226"/>
      <c r="X858" s="226"/>
      <c r="Y858" s="226"/>
      <c r="Z858" s="226"/>
    </row>
    <row r="859" spans="1:26" ht="16.5" customHeight="1">
      <c r="A859" s="237"/>
      <c r="B859" s="237"/>
      <c r="C859" s="237"/>
      <c r="D859" s="226"/>
      <c r="E859" s="226"/>
      <c r="F859" s="226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226"/>
      <c r="S859" s="226"/>
      <c r="T859" s="226"/>
      <c r="U859" s="226"/>
      <c r="V859" s="226"/>
      <c r="W859" s="226"/>
      <c r="X859" s="226"/>
      <c r="Y859" s="226"/>
      <c r="Z859" s="226"/>
    </row>
    <row r="860" spans="1:26" ht="16.5" customHeight="1">
      <c r="A860" s="237"/>
      <c r="B860" s="237"/>
      <c r="C860" s="237"/>
      <c r="D860" s="226"/>
      <c r="E860" s="226"/>
      <c r="F860" s="226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226"/>
      <c r="S860" s="226"/>
      <c r="T860" s="226"/>
      <c r="U860" s="226"/>
      <c r="V860" s="226"/>
      <c r="W860" s="226"/>
      <c r="X860" s="226"/>
      <c r="Y860" s="226"/>
      <c r="Z860" s="226"/>
    </row>
    <row r="861" spans="1:26" ht="16.5" customHeight="1">
      <c r="A861" s="237"/>
      <c r="B861" s="237"/>
      <c r="C861" s="237"/>
      <c r="D861" s="226"/>
      <c r="E861" s="226"/>
      <c r="F861" s="226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226"/>
      <c r="S861" s="226"/>
      <c r="T861" s="226"/>
      <c r="U861" s="226"/>
      <c r="V861" s="226"/>
      <c r="W861" s="226"/>
      <c r="X861" s="226"/>
      <c r="Y861" s="226"/>
      <c r="Z861" s="226"/>
    </row>
    <row r="862" spans="1:26" ht="16.5" customHeight="1">
      <c r="A862" s="237"/>
      <c r="B862" s="237"/>
      <c r="C862" s="237"/>
      <c r="D862" s="226"/>
      <c r="E862" s="226"/>
      <c r="F862" s="226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226"/>
      <c r="S862" s="226"/>
      <c r="T862" s="226"/>
      <c r="U862" s="226"/>
      <c r="V862" s="226"/>
      <c r="W862" s="226"/>
      <c r="X862" s="226"/>
      <c r="Y862" s="226"/>
      <c r="Z862" s="226"/>
    </row>
    <row r="863" spans="1:26" ht="16.5" customHeight="1">
      <c r="A863" s="237"/>
      <c r="B863" s="237"/>
      <c r="C863" s="237"/>
      <c r="D863" s="226"/>
      <c r="E863" s="226"/>
      <c r="F863" s="226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226"/>
      <c r="S863" s="226"/>
      <c r="T863" s="226"/>
      <c r="U863" s="226"/>
      <c r="V863" s="226"/>
      <c r="W863" s="226"/>
      <c r="X863" s="226"/>
      <c r="Y863" s="226"/>
      <c r="Z863" s="226"/>
    </row>
    <row r="864" spans="1:26" ht="16.5" customHeight="1">
      <c r="A864" s="237"/>
      <c r="B864" s="237"/>
      <c r="C864" s="237"/>
      <c r="D864" s="226"/>
      <c r="E864" s="226"/>
      <c r="F864" s="226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226"/>
      <c r="S864" s="226"/>
      <c r="T864" s="226"/>
      <c r="U864" s="226"/>
      <c r="V864" s="226"/>
      <c r="W864" s="226"/>
      <c r="X864" s="226"/>
      <c r="Y864" s="226"/>
      <c r="Z864" s="226"/>
    </row>
    <row r="865" spans="1:26" ht="16.5" customHeight="1">
      <c r="A865" s="237"/>
      <c r="B865" s="237"/>
      <c r="C865" s="237"/>
      <c r="D865" s="226"/>
      <c r="E865" s="226"/>
      <c r="F865" s="226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226"/>
      <c r="S865" s="226"/>
      <c r="T865" s="226"/>
      <c r="U865" s="226"/>
      <c r="V865" s="226"/>
      <c r="W865" s="226"/>
      <c r="X865" s="226"/>
      <c r="Y865" s="226"/>
      <c r="Z865" s="226"/>
    </row>
    <row r="866" spans="1:26" ht="16.5" customHeight="1">
      <c r="A866" s="237"/>
      <c r="B866" s="237"/>
      <c r="C866" s="237"/>
      <c r="D866" s="226"/>
      <c r="E866" s="226"/>
      <c r="F866" s="226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226"/>
      <c r="S866" s="226"/>
      <c r="T866" s="226"/>
      <c r="U866" s="226"/>
      <c r="V866" s="226"/>
      <c r="W866" s="226"/>
      <c r="X866" s="226"/>
      <c r="Y866" s="226"/>
      <c r="Z866" s="226"/>
    </row>
    <row r="867" spans="1:26" ht="16.5" customHeight="1">
      <c r="A867" s="237"/>
      <c r="B867" s="237"/>
      <c r="C867" s="237"/>
      <c r="D867" s="226"/>
      <c r="E867" s="226"/>
      <c r="F867" s="226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226"/>
      <c r="S867" s="226"/>
      <c r="T867" s="226"/>
      <c r="U867" s="226"/>
      <c r="V867" s="226"/>
      <c r="W867" s="226"/>
      <c r="X867" s="226"/>
      <c r="Y867" s="226"/>
      <c r="Z867" s="226"/>
    </row>
    <row r="868" spans="1:26" ht="16.5" customHeight="1">
      <c r="A868" s="237"/>
      <c r="B868" s="237"/>
      <c r="C868" s="237"/>
      <c r="D868" s="226"/>
      <c r="E868" s="226"/>
      <c r="F868" s="226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226"/>
      <c r="S868" s="226"/>
      <c r="T868" s="226"/>
      <c r="U868" s="226"/>
      <c r="V868" s="226"/>
      <c r="W868" s="226"/>
      <c r="X868" s="226"/>
      <c r="Y868" s="226"/>
      <c r="Z868" s="226"/>
    </row>
    <row r="869" spans="1:26" ht="16.5" customHeight="1">
      <c r="A869" s="237"/>
      <c r="B869" s="237"/>
      <c r="C869" s="237"/>
      <c r="D869" s="226"/>
      <c r="E869" s="226"/>
      <c r="F869" s="226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226"/>
      <c r="S869" s="226"/>
      <c r="T869" s="226"/>
      <c r="U869" s="226"/>
      <c r="V869" s="226"/>
      <c r="W869" s="226"/>
      <c r="X869" s="226"/>
      <c r="Y869" s="226"/>
      <c r="Z869" s="226"/>
    </row>
    <row r="870" spans="1:26" ht="16.5" customHeight="1">
      <c r="A870" s="237"/>
      <c r="B870" s="237"/>
      <c r="C870" s="237"/>
      <c r="D870" s="226"/>
      <c r="E870" s="226"/>
      <c r="F870" s="226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226"/>
      <c r="S870" s="226"/>
      <c r="T870" s="226"/>
      <c r="U870" s="226"/>
      <c r="V870" s="226"/>
      <c r="W870" s="226"/>
      <c r="X870" s="226"/>
      <c r="Y870" s="226"/>
      <c r="Z870" s="226"/>
    </row>
    <row r="871" spans="1:26" ht="16.5" customHeight="1">
      <c r="A871" s="237"/>
      <c r="B871" s="237"/>
      <c r="C871" s="237"/>
      <c r="D871" s="226"/>
      <c r="E871" s="226"/>
      <c r="F871" s="226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226"/>
      <c r="S871" s="226"/>
      <c r="T871" s="226"/>
      <c r="U871" s="226"/>
      <c r="V871" s="226"/>
      <c r="W871" s="226"/>
      <c r="X871" s="226"/>
      <c r="Y871" s="226"/>
      <c r="Z871" s="226"/>
    </row>
    <row r="872" spans="1:26" ht="16.5" customHeight="1">
      <c r="A872" s="237"/>
      <c r="B872" s="237"/>
      <c r="C872" s="237"/>
      <c r="D872" s="226"/>
      <c r="E872" s="226"/>
      <c r="F872" s="226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226"/>
      <c r="S872" s="226"/>
      <c r="T872" s="226"/>
      <c r="U872" s="226"/>
      <c r="V872" s="226"/>
      <c r="W872" s="226"/>
      <c r="X872" s="226"/>
      <c r="Y872" s="226"/>
      <c r="Z872" s="226"/>
    </row>
    <row r="873" spans="1:26" ht="16.5" customHeight="1">
      <c r="A873" s="237"/>
      <c r="B873" s="237"/>
      <c r="C873" s="237"/>
      <c r="D873" s="226"/>
      <c r="E873" s="226"/>
      <c r="F873" s="226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226"/>
      <c r="S873" s="226"/>
      <c r="T873" s="226"/>
      <c r="U873" s="226"/>
      <c r="V873" s="226"/>
      <c r="W873" s="226"/>
      <c r="X873" s="226"/>
      <c r="Y873" s="226"/>
      <c r="Z873" s="226"/>
    </row>
    <row r="874" spans="1:26" ht="16.5" customHeight="1">
      <c r="A874" s="237"/>
      <c r="B874" s="237"/>
      <c r="C874" s="237"/>
      <c r="D874" s="226"/>
      <c r="E874" s="226"/>
      <c r="F874" s="226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226"/>
      <c r="S874" s="226"/>
      <c r="T874" s="226"/>
      <c r="U874" s="226"/>
      <c r="V874" s="226"/>
      <c r="W874" s="226"/>
      <c r="X874" s="226"/>
      <c r="Y874" s="226"/>
      <c r="Z874" s="226"/>
    </row>
    <row r="875" spans="1:26" ht="16.5" customHeight="1">
      <c r="A875" s="237"/>
      <c r="B875" s="237"/>
      <c r="C875" s="237"/>
      <c r="D875" s="226"/>
      <c r="E875" s="226"/>
      <c r="F875" s="226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226"/>
      <c r="S875" s="226"/>
      <c r="T875" s="226"/>
      <c r="U875" s="226"/>
      <c r="V875" s="226"/>
      <c r="W875" s="226"/>
      <c r="X875" s="226"/>
      <c r="Y875" s="226"/>
      <c r="Z875" s="226"/>
    </row>
    <row r="876" spans="1:26" ht="16.5" customHeight="1">
      <c r="A876" s="237"/>
      <c r="B876" s="237"/>
      <c r="C876" s="237"/>
      <c r="D876" s="226"/>
      <c r="E876" s="226"/>
      <c r="F876" s="226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226"/>
      <c r="S876" s="226"/>
      <c r="T876" s="226"/>
      <c r="U876" s="226"/>
      <c r="V876" s="226"/>
      <c r="W876" s="226"/>
      <c r="X876" s="226"/>
      <c r="Y876" s="226"/>
      <c r="Z876" s="226"/>
    </row>
    <row r="877" spans="1:26" ht="16.5" customHeight="1">
      <c r="A877" s="237"/>
      <c r="B877" s="237"/>
      <c r="C877" s="237"/>
      <c r="D877" s="226"/>
      <c r="E877" s="226"/>
      <c r="F877" s="226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226"/>
      <c r="S877" s="226"/>
      <c r="T877" s="226"/>
      <c r="U877" s="226"/>
      <c r="V877" s="226"/>
      <c r="W877" s="226"/>
      <c r="X877" s="226"/>
      <c r="Y877" s="226"/>
      <c r="Z877" s="226"/>
    </row>
    <row r="878" spans="1:26" ht="16.5" customHeight="1">
      <c r="A878" s="237"/>
      <c r="B878" s="237"/>
      <c r="C878" s="237"/>
      <c r="D878" s="226"/>
      <c r="E878" s="226"/>
      <c r="F878" s="226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226"/>
      <c r="S878" s="226"/>
      <c r="T878" s="226"/>
      <c r="U878" s="226"/>
      <c r="V878" s="226"/>
      <c r="W878" s="226"/>
      <c r="X878" s="226"/>
      <c r="Y878" s="226"/>
      <c r="Z878" s="226"/>
    </row>
    <row r="879" spans="1:26" ht="16.5" customHeight="1">
      <c r="A879" s="237"/>
      <c r="B879" s="237"/>
      <c r="C879" s="237"/>
      <c r="D879" s="226"/>
      <c r="E879" s="226"/>
      <c r="F879" s="226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226"/>
      <c r="S879" s="226"/>
      <c r="T879" s="226"/>
      <c r="U879" s="226"/>
      <c r="V879" s="226"/>
      <c r="W879" s="226"/>
      <c r="X879" s="226"/>
      <c r="Y879" s="226"/>
      <c r="Z879" s="226"/>
    </row>
    <row r="880" spans="1:26" ht="16.5" customHeight="1">
      <c r="A880" s="237"/>
      <c r="B880" s="237"/>
      <c r="C880" s="237"/>
      <c r="D880" s="226"/>
      <c r="E880" s="226"/>
      <c r="F880" s="226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226"/>
      <c r="S880" s="226"/>
      <c r="T880" s="226"/>
      <c r="U880" s="226"/>
      <c r="V880" s="226"/>
      <c r="W880" s="226"/>
      <c r="X880" s="226"/>
      <c r="Y880" s="226"/>
      <c r="Z880" s="226"/>
    </row>
    <row r="881" spans="1:26" ht="16.5" customHeight="1">
      <c r="A881" s="237"/>
      <c r="B881" s="237"/>
      <c r="C881" s="237"/>
      <c r="D881" s="226"/>
      <c r="E881" s="226"/>
      <c r="F881" s="226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226"/>
      <c r="S881" s="226"/>
      <c r="T881" s="226"/>
      <c r="U881" s="226"/>
      <c r="V881" s="226"/>
      <c r="W881" s="226"/>
      <c r="X881" s="226"/>
      <c r="Y881" s="226"/>
      <c r="Z881" s="226"/>
    </row>
    <row r="882" spans="1:26" ht="16.5" customHeight="1">
      <c r="A882" s="237"/>
      <c r="B882" s="237"/>
      <c r="C882" s="237"/>
      <c r="D882" s="226"/>
      <c r="E882" s="226"/>
      <c r="F882" s="226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226"/>
      <c r="S882" s="226"/>
      <c r="T882" s="226"/>
      <c r="U882" s="226"/>
      <c r="V882" s="226"/>
      <c r="W882" s="226"/>
      <c r="X882" s="226"/>
      <c r="Y882" s="226"/>
      <c r="Z882" s="226"/>
    </row>
    <row r="883" spans="1:26" ht="16.5" customHeight="1">
      <c r="A883" s="237"/>
      <c r="B883" s="237"/>
      <c r="C883" s="237"/>
      <c r="D883" s="226"/>
      <c r="E883" s="226"/>
      <c r="F883" s="226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226"/>
      <c r="S883" s="226"/>
      <c r="T883" s="226"/>
      <c r="U883" s="226"/>
      <c r="V883" s="226"/>
      <c r="W883" s="226"/>
      <c r="X883" s="226"/>
      <c r="Y883" s="226"/>
      <c r="Z883" s="226"/>
    </row>
    <row r="884" spans="1:26" ht="16.5" customHeight="1">
      <c r="A884" s="237"/>
      <c r="B884" s="237"/>
      <c r="C884" s="237"/>
      <c r="D884" s="226"/>
      <c r="E884" s="226"/>
      <c r="F884" s="226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226"/>
      <c r="S884" s="226"/>
      <c r="T884" s="226"/>
      <c r="U884" s="226"/>
      <c r="V884" s="226"/>
      <c r="W884" s="226"/>
      <c r="X884" s="226"/>
      <c r="Y884" s="226"/>
      <c r="Z884" s="226"/>
    </row>
    <row r="885" spans="1:26" ht="16.5" customHeight="1">
      <c r="A885" s="237"/>
      <c r="B885" s="237"/>
      <c r="C885" s="237"/>
      <c r="D885" s="226"/>
      <c r="E885" s="226"/>
      <c r="F885" s="226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226"/>
      <c r="S885" s="226"/>
      <c r="T885" s="226"/>
      <c r="U885" s="226"/>
      <c r="V885" s="226"/>
      <c r="W885" s="226"/>
      <c r="X885" s="226"/>
      <c r="Y885" s="226"/>
      <c r="Z885" s="226"/>
    </row>
    <row r="886" spans="1:26" ht="16.5" customHeight="1">
      <c r="A886" s="237"/>
      <c r="B886" s="237"/>
      <c r="C886" s="237"/>
      <c r="D886" s="226"/>
      <c r="E886" s="226"/>
      <c r="F886" s="226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226"/>
      <c r="S886" s="226"/>
      <c r="T886" s="226"/>
      <c r="U886" s="226"/>
      <c r="V886" s="226"/>
      <c r="W886" s="226"/>
      <c r="X886" s="226"/>
      <c r="Y886" s="226"/>
      <c r="Z886" s="226"/>
    </row>
    <row r="887" spans="1:26" ht="16.5" customHeight="1">
      <c r="A887" s="237"/>
      <c r="B887" s="237"/>
      <c r="C887" s="237"/>
      <c r="D887" s="226"/>
      <c r="E887" s="226"/>
      <c r="F887" s="226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226"/>
      <c r="S887" s="226"/>
      <c r="T887" s="226"/>
      <c r="U887" s="226"/>
      <c r="V887" s="226"/>
      <c r="W887" s="226"/>
      <c r="X887" s="226"/>
      <c r="Y887" s="226"/>
      <c r="Z887" s="226"/>
    </row>
    <row r="888" spans="1:26" ht="16.5" customHeight="1">
      <c r="A888" s="237"/>
      <c r="B888" s="237"/>
      <c r="C888" s="237"/>
      <c r="D888" s="226"/>
      <c r="E888" s="226"/>
      <c r="F888" s="226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226"/>
      <c r="S888" s="226"/>
      <c r="T888" s="226"/>
      <c r="U888" s="226"/>
      <c r="V888" s="226"/>
      <c r="W888" s="226"/>
      <c r="X888" s="226"/>
      <c r="Y888" s="226"/>
      <c r="Z888" s="226"/>
    </row>
    <row r="889" spans="1:26" ht="16.5" customHeight="1">
      <c r="A889" s="237"/>
      <c r="B889" s="237"/>
      <c r="C889" s="237"/>
      <c r="D889" s="226"/>
      <c r="E889" s="226"/>
      <c r="F889" s="226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226"/>
      <c r="S889" s="226"/>
      <c r="T889" s="226"/>
      <c r="U889" s="226"/>
      <c r="V889" s="226"/>
      <c r="W889" s="226"/>
      <c r="X889" s="226"/>
      <c r="Y889" s="226"/>
      <c r="Z889" s="226"/>
    </row>
    <row r="890" spans="1:26" ht="16.5" customHeight="1">
      <c r="A890" s="237"/>
      <c r="B890" s="237"/>
      <c r="C890" s="237"/>
      <c r="D890" s="226"/>
      <c r="E890" s="226"/>
      <c r="F890" s="226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226"/>
      <c r="S890" s="226"/>
      <c r="T890" s="226"/>
      <c r="U890" s="226"/>
      <c r="V890" s="226"/>
      <c r="W890" s="226"/>
      <c r="X890" s="226"/>
      <c r="Y890" s="226"/>
      <c r="Z890" s="226"/>
    </row>
    <row r="891" spans="1:26" ht="16.5" customHeight="1">
      <c r="A891" s="237"/>
      <c r="B891" s="237"/>
      <c r="C891" s="237"/>
      <c r="D891" s="226"/>
      <c r="E891" s="226"/>
      <c r="F891" s="226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226"/>
      <c r="S891" s="226"/>
      <c r="T891" s="226"/>
      <c r="U891" s="226"/>
      <c r="V891" s="226"/>
      <c r="W891" s="226"/>
      <c r="X891" s="226"/>
      <c r="Y891" s="226"/>
      <c r="Z891" s="226"/>
    </row>
    <row r="892" spans="1:26" ht="16.5" customHeight="1">
      <c r="A892" s="237"/>
      <c r="B892" s="237"/>
      <c r="C892" s="237"/>
      <c r="D892" s="226"/>
      <c r="E892" s="226"/>
      <c r="F892" s="226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226"/>
      <c r="S892" s="226"/>
      <c r="T892" s="226"/>
      <c r="U892" s="226"/>
      <c r="V892" s="226"/>
      <c r="W892" s="226"/>
      <c r="X892" s="226"/>
      <c r="Y892" s="226"/>
      <c r="Z892" s="226"/>
    </row>
    <row r="893" spans="1:26" ht="16.5" customHeight="1">
      <c r="A893" s="237"/>
      <c r="B893" s="237"/>
      <c r="C893" s="237"/>
      <c r="D893" s="226"/>
      <c r="E893" s="226"/>
      <c r="F893" s="226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226"/>
      <c r="S893" s="226"/>
      <c r="T893" s="226"/>
      <c r="U893" s="226"/>
      <c r="V893" s="226"/>
      <c r="W893" s="226"/>
      <c r="X893" s="226"/>
      <c r="Y893" s="226"/>
      <c r="Z893" s="226"/>
    </row>
    <row r="894" spans="1:26" ht="16.5" customHeight="1">
      <c r="A894" s="237"/>
      <c r="B894" s="237"/>
      <c r="C894" s="237"/>
      <c r="D894" s="226"/>
      <c r="E894" s="226"/>
      <c r="F894" s="226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226"/>
      <c r="S894" s="226"/>
      <c r="T894" s="226"/>
      <c r="U894" s="226"/>
      <c r="V894" s="226"/>
      <c r="W894" s="226"/>
      <c r="X894" s="226"/>
      <c r="Y894" s="226"/>
      <c r="Z894" s="226"/>
    </row>
    <row r="895" spans="1:26" ht="16.5" customHeight="1">
      <c r="A895" s="237"/>
      <c r="B895" s="237"/>
      <c r="C895" s="237"/>
      <c r="D895" s="226"/>
      <c r="E895" s="226"/>
      <c r="F895" s="226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226"/>
      <c r="S895" s="226"/>
      <c r="T895" s="226"/>
      <c r="U895" s="226"/>
      <c r="V895" s="226"/>
      <c r="W895" s="226"/>
      <c r="X895" s="226"/>
      <c r="Y895" s="226"/>
      <c r="Z895" s="226"/>
    </row>
    <row r="896" spans="1:26" ht="16.5" customHeight="1">
      <c r="A896" s="237"/>
      <c r="B896" s="237"/>
      <c r="C896" s="237"/>
      <c r="D896" s="226"/>
      <c r="E896" s="226"/>
      <c r="F896" s="226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226"/>
      <c r="S896" s="226"/>
      <c r="T896" s="226"/>
      <c r="U896" s="226"/>
      <c r="V896" s="226"/>
      <c r="W896" s="226"/>
      <c r="X896" s="226"/>
      <c r="Y896" s="226"/>
      <c r="Z896" s="226"/>
    </row>
    <row r="897" spans="1:26" ht="16.5" customHeight="1">
      <c r="A897" s="237"/>
      <c r="B897" s="237"/>
      <c r="C897" s="237"/>
      <c r="D897" s="226"/>
      <c r="E897" s="226"/>
      <c r="F897" s="226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226"/>
      <c r="S897" s="226"/>
      <c r="T897" s="226"/>
      <c r="U897" s="226"/>
      <c r="V897" s="226"/>
      <c r="W897" s="226"/>
      <c r="X897" s="226"/>
      <c r="Y897" s="226"/>
      <c r="Z897" s="226"/>
    </row>
    <row r="898" spans="1:26" ht="16.5" customHeight="1">
      <c r="A898" s="237"/>
      <c r="B898" s="237"/>
      <c r="C898" s="237"/>
      <c r="D898" s="226"/>
      <c r="E898" s="226"/>
      <c r="F898" s="226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226"/>
      <c r="S898" s="226"/>
      <c r="T898" s="226"/>
      <c r="U898" s="226"/>
      <c r="V898" s="226"/>
      <c r="W898" s="226"/>
      <c r="X898" s="226"/>
      <c r="Y898" s="226"/>
      <c r="Z898" s="226"/>
    </row>
    <row r="899" spans="1:26" ht="16.5" customHeight="1">
      <c r="A899" s="237"/>
      <c r="B899" s="237"/>
      <c r="C899" s="237"/>
      <c r="D899" s="226"/>
      <c r="E899" s="226"/>
      <c r="F899" s="226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226"/>
      <c r="S899" s="226"/>
      <c r="T899" s="226"/>
      <c r="U899" s="226"/>
      <c r="V899" s="226"/>
      <c r="W899" s="226"/>
      <c r="X899" s="226"/>
      <c r="Y899" s="226"/>
      <c r="Z899" s="226"/>
    </row>
    <row r="900" spans="1:26" ht="16.5" customHeight="1">
      <c r="A900" s="237"/>
      <c r="B900" s="237"/>
      <c r="C900" s="237"/>
      <c r="D900" s="226"/>
      <c r="E900" s="226"/>
      <c r="F900" s="226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226"/>
      <c r="S900" s="226"/>
      <c r="T900" s="226"/>
      <c r="U900" s="226"/>
      <c r="V900" s="226"/>
      <c r="W900" s="226"/>
      <c r="X900" s="226"/>
      <c r="Y900" s="226"/>
      <c r="Z900" s="226"/>
    </row>
    <row r="901" spans="1:26" ht="16.5" customHeight="1">
      <c r="A901" s="237"/>
      <c r="B901" s="237"/>
      <c r="C901" s="237"/>
      <c r="D901" s="226"/>
      <c r="E901" s="226"/>
      <c r="F901" s="226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226"/>
      <c r="S901" s="226"/>
      <c r="T901" s="226"/>
      <c r="U901" s="226"/>
      <c r="V901" s="226"/>
      <c r="W901" s="226"/>
      <c r="X901" s="226"/>
      <c r="Y901" s="226"/>
      <c r="Z901" s="226"/>
    </row>
    <row r="902" spans="1:26" ht="16.5" customHeight="1">
      <c r="A902" s="237"/>
      <c r="B902" s="237"/>
      <c r="C902" s="237"/>
      <c r="D902" s="226"/>
      <c r="E902" s="226"/>
      <c r="F902" s="226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226"/>
      <c r="S902" s="226"/>
      <c r="T902" s="226"/>
      <c r="U902" s="226"/>
      <c r="V902" s="226"/>
      <c r="W902" s="226"/>
      <c r="X902" s="226"/>
      <c r="Y902" s="226"/>
      <c r="Z902" s="226"/>
    </row>
    <row r="903" spans="1:26" ht="16.5" customHeight="1">
      <c r="A903" s="237"/>
      <c r="B903" s="237"/>
      <c r="C903" s="237"/>
      <c r="D903" s="226"/>
      <c r="E903" s="226"/>
      <c r="F903" s="226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226"/>
      <c r="S903" s="226"/>
      <c r="T903" s="226"/>
      <c r="U903" s="226"/>
      <c r="V903" s="226"/>
      <c r="W903" s="226"/>
      <c r="X903" s="226"/>
      <c r="Y903" s="226"/>
      <c r="Z903" s="226"/>
    </row>
    <row r="904" spans="1:26" ht="16.5" customHeight="1">
      <c r="A904" s="237"/>
      <c r="B904" s="237"/>
      <c r="C904" s="237"/>
      <c r="D904" s="226"/>
      <c r="E904" s="226"/>
      <c r="F904" s="226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226"/>
      <c r="S904" s="226"/>
      <c r="T904" s="226"/>
      <c r="U904" s="226"/>
      <c r="V904" s="226"/>
      <c r="W904" s="226"/>
      <c r="X904" s="226"/>
      <c r="Y904" s="226"/>
      <c r="Z904" s="226"/>
    </row>
    <row r="905" spans="1:26" ht="16.5" customHeight="1">
      <c r="A905" s="237"/>
      <c r="B905" s="237"/>
      <c r="C905" s="237"/>
      <c r="D905" s="226"/>
      <c r="E905" s="226"/>
      <c r="F905" s="226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226"/>
      <c r="S905" s="226"/>
      <c r="T905" s="226"/>
      <c r="U905" s="226"/>
      <c r="V905" s="226"/>
      <c r="W905" s="226"/>
      <c r="X905" s="226"/>
      <c r="Y905" s="226"/>
      <c r="Z905" s="226"/>
    </row>
    <row r="906" spans="1:26" ht="16.5" customHeight="1">
      <c r="A906" s="237"/>
      <c r="B906" s="237"/>
      <c r="C906" s="237"/>
      <c r="D906" s="226"/>
      <c r="E906" s="226"/>
      <c r="F906" s="226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226"/>
      <c r="S906" s="226"/>
      <c r="T906" s="226"/>
      <c r="U906" s="226"/>
      <c r="V906" s="226"/>
      <c r="W906" s="226"/>
      <c r="X906" s="226"/>
      <c r="Y906" s="226"/>
      <c r="Z906" s="226"/>
    </row>
    <row r="907" spans="1:26" ht="16.5" customHeight="1">
      <c r="A907" s="237"/>
      <c r="B907" s="237"/>
      <c r="C907" s="237"/>
      <c r="D907" s="226"/>
      <c r="E907" s="226"/>
      <c r="F907" s="226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226"/>
      <c r="S907" s="226"/>
      <c r="T907" s="226"/>
      <c r="U907" s="226"/>
      <c r="V907" s="226"/>
      <c r="W907" s="226"/>
      <c r="X907" s="226"/>
      <c r="Y907" s="226"/>
      <c r="Z907" s="226"/>
    </row>
    <row r="908" spans="1:26" ht="16.5" customHeight="1">
      <c r="A908" s="237"/>
      <c r="B908" s="237"/>
      <c r="C908" s="237"/>
      <c r="D908" s="226"/>
      <c r="E908" s="226"/>
      <c r="F908" s="226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226"/>
      <c r="S908" s="226"/>
      <c r="T908" s="226"/>
      <c r="U908" s="226"/>
      <c r="V908" s="226"/>
      <c r="W908" s="226"/>
      <c r="X908" s="226"/>
      <c r="Y908" s="226"/>
      <c r="Z908" s="226"/>
    </row>
    <row r="909" spans="1:26" ht="16.5" customHeight="1">
      <c r="A909" s="237"/>
      <c r="B909" s="237"/>
      <c r="C909" s="237"/>
      <c r="D909" s="226"/>
      <c r="E909" s="226"/>
      <c r="F909" s="226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226"/>
      <c r="S909" s="226"/>
      <c r="T909" s="226"/>
      <c r="U909" s="226"/>
      <c r="V909" s="226"/>
      <c r="W909" s="226"/>
      <c r="X909" s="226"/>
      <c r="Y909" s="226"/>
      <c r="Z909" s="226"/>
    </row>
    <row r="910" spans="1:26" ht="16.5" customHeight="1">
      <c r="A910" s="237"/>
      <c r="B910" s="237"/>
      <c r="C910" s="237"/>
      <c r="D910" s="226"/>
      <c r="E910" s="226"/>
      <c r="F910" s="226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226"/>
      <c r="S910" s="226"/>
      <c r="T910" s="226"/>
      <c r="U910" s="226"/>
      <c r="V910" s="226"/>
      <c r="W910" s="226"/>
      <c r="X910" s="226"/>
      <c r="Y910" s="226"/>
      <c r="Z910" s="226"/>
    </row>
    <row r="911" spans="1:26" ht="16.5" customHeight="1">
      <c r="A911" s="237"/>
      <c r="B911" s="237"/>
      <c r="C911" s="237"/>
      <c r="D911" s="226"/>
      <c r="E911" s="226"/>
      <c r="F911" s="226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226"/>
      <c r="S911" s="226"/>
      <c r="T911" s="226"/>
      <c r="U911" s="226"/>
      <c r="V911" s="226"/>
      <c r="W911" s="226"/>
      <c r="X911" s="226"/>
      <c r="Y911" s="226"/>
      <c r="Z911" s="226"/>
    </row>
    <row r="912" spans="1:26" ht="16.5" customHeight="1">
      <c r="A912" s="237"/>
      <c r="B912" s="237"/>
      <c r="C912" s="237"/>
      <c r="D912" s="226"/>
      <c r="E912" s="226"/>
      <c r="F912" s="226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226"/>
      <c r="S912" s="226"/>
      <c r="T912" s="226"/>
      <c r="U912" s="226"/>
      <c r="V912" s="226"/>
      <c r="W912" s="226"/>
      <c r="X912" s="226"/>
      <c r="Y912" s="226"/>
      <c r="Z912" s="226"/>
    </row>
    <row r="913" spans="1:26" ht="16.5" customHeight="1">
      <c r="A913" s="237"/>
      <c r="B913" s="237"/>
      <c r="C913" s="237"/>
      <c r="D913" s="226"/>
      <c r="E913" s="226"/>
      <c r="F913" s="226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226"/>
      <c r="S913" s="226"/>
      <c r="T913" s="226"/>
      <c r="U913" s="226"/>
      <c r="V913" s="226"/>
      <c r="W913" s="226"/>
      <c r="X913" s="226"/>
      <c r="Y913" s="226"/>
      <c r="Z913" s="226"/>
    </row>
    <row r="914" spans="1:26" ht="16.5" customHeight="1">
      <c r="A914" s="237"/>
      <c r="B914" s="237"/>
      <c r="C914" s="237"/>
      <c r="D914" s="226"/>
      <c r="E914" s="226"/>
      <c r="F914" s="226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226"/>
      <c r="S914" s="226"/>
      <c r="T914" s="226"/>
      <c r="U914" s="226"/>
      <c r="V914" s="226"/>
      <c r="W914" s="226"/>
      <c r="X914" s="226"/>
      <c r="Y914" s="226"/>
      <c r="Z914" s="226"/>
    </row>
    <row r="915" spans="1:26" ht="16.5" customHeight="1">
      <c r="A915" s="237"/>
      <c r="B915" s="237"/>
      <c r="C915" s="237"/>
      <c r="D915" s="226"/>
      <c r="E915" s="226"/>
      <c r="F915" s="226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226"/>
      <c r="S915" s="226"/>
      <c r="T915" s="226"/>
      <c r="U915" s="226"/>
      <c r="V915" s="226"/>
      <c r="W915" s="226"/>
      <c r="X915" s="226"/>
      <c r="Y915" s="226"/>
      <c r="Z915" s="226"/>
    </row>
    <row r="916" spans="1:26" ht="16.5" customHeight="1">
      <c r="A916" s="237"/>
      <c r="B916" s="237"/>
      <c r="C916" s="237"/>
      <c r="D916" s="226"/>
      <c r="E916" s="226"/>
      <c r="F916" s="226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226"/>
      <c r="S916" s="226"/>
      <c r="T916" s="226"/>
      <c r="U916" s="226"/>
      <c r="V916" s="226"/>
      <c r="W916" s="226"/>
      <c r="X916" s="226"/>
      <c r="Y916" s="226"/>
      <c r="Z916" s="226"/>
    </row>
    <row r="917" spans="1:26" ht="16.5" customHeight="1">
      <c r="A917" s="237"/>
      <c r="B917" s="237"/>
      <c r="C917" s="237"/>
      <c r="D917" s="226"/>
      <c r="E917" s="226"/>
      <c r="F917" s="226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226"/>
      <c r="S917" s="226"/>
      <c r="T917" s="226"/>
      <c r="U917" s="226"/>
      <c r="V917" s="226"/>
      <c r="W917" s="226"/>
      <c r="X917" s="226"/>
      <c r="Y917" s="226"/>
      <c r="Z917" s="226"/>
    </row>
    <row r="918" spans="1:26" ht="16.5" customHeight="1">
      <c r="A918" s="237"/>
      <c r="B918" s="237"/>
      <c r="C918" s="237"/>
      <c r="D918" s="226"/>
      <c r="E918" s="226"/>
      <c r="F918" s="226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226"/>
      <c r="S918" s="226"/>
      <c r="T918" s="226"/>
      <c r="U918" s="226"/>
      <c r="V918" s="226"/>
      <c r="W918" s="226"/>
      <c r="X918" s="226"/>
      <c r="Y918" s="226"/>
      <c r="Z918" s="226"/>
    </row>
    <row r="919" spans="1:26" ht="16.5" customHeight="1">
      <c r="A919" s="237"/>
      <c r="B919" s="237"/>
      <c r="C919" s="237"/>
      <c r="D919" s="226"/>
      <c r="E919" s="226"/>
      <c r="F919" s="226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226"/>
      <c r="S919" s="226"/>
      <c r="T919" s="226"/>
      <c r="U919" s="226"/>
      <c r="V919" s="226"/>
      <c r="W919" s="226"/>
      <c r="X919" s="226"/>
      <c r="Y919" s="226"/>
      <c r="Z919" s="226"/>
    </row>
    <row r="920" spans="1:26" ht="16.5" customHeight="1">
      <c r="A920" s="237"/>
      <c r="B920" s="237"/>
      <c r="C920" s="237"/>
      <c r="D920" s="226"/>
      <c r="E920" s="226"/>
      <c r="F920" s="226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226"/>
      <c r="S920" s="226"/>
      <c r="T920" s="226"/>
      <c r="U920" s="226"/>
      <c r="V920" s="226"/>
      <c r="W920" s="226"/>
      <c r="X920" s="226"/>
      <c r="Y920" s="226"/>
      <c r="Z920" s="226"/>
    </row>
    <row r="921" spans="1:26" ht="16.5" customHeight="1">
      <c r="A921" s="237"/>
      <c r="B921" s="237"/>
      <c r="C921" s="237"/>
      <c r="D921" s="226"/>
      <c r="E921" s="226"/>
      <c r="F921" s="226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226"/>
      <c r="S921" s="226"/>
      <c r="T921" s="226"/>
      <c r="U921" s="226"/>
      <c r="V921" s="226"/>
      <c r="W921" s="226"/>
      <c r="X921" s="226"/>
      <c r="Y921" s="226"/>
      <c r="Z921" s="226"/>
    </row>
    <row r="922" spans="1:26" ht="16.5" customHeight="1">
      <c r="A922" s="237"/>
      <c r="B922" s="237"/>
      <c r="C922" s="237"/>
      <c r="D922" s="226"/>
      <c r="E922" s="226"/>
      <c r="F922" s="226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226"/>
      <c r="S922" s="226"/>
      <c r="T922" s="226"/>
      <c r="U922" s="226"/>
      <c r="V922" s="226"/>
      <c r="W922" s="226"/>
      <c r="X922" s="226"/>
      <c r="Y922" s="226"/>
      <c r="Z922" s="226"/>
    </row>
    <row r="923" spans="1:26" ht="16.5" customHeight="1">
      <c r="A923" s="237"/>
      <c r="B923" s="237"/>
      <c r="C923" s="237"/>
      <c r="D923" s="226"/>
      <c r="E923" s="226"/>
      <c r="F923" s="226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226"/>
      <c r="S923" s="226"/>
      <c r="T923" s="226"/>
      <c r="U923" s="226"/>
      <c r="V923" s="226"/>
      <c r="W923" s="226"/>
      <c r="X923" s="226"/>
      <c r="Y923" s="226"/>
      <c r="Z923" s="226"/>
    </row>
    <row r="924" spans="1:26" ht="16.5" customHeight="1">
      <c r="A924" s="237"/>
      <c r="B924" s="237"/>
      <c r="C924" s="237"/>
      <c r="D924" s="226"/>
      <c r="E924" s="226"/>
      <c r="F924" s="226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226"/>
      <c r="S924" s="226"/>
      <c r="T924" s="226"/>
      <c r="U924" s="226"/>
      <c r="V924" s="226"/>
      <c r="W924" s="226"/>
      <c r="X924" s="226"/>
      <c r="Y924" s="226"/>
      <c r="Z924" s="226"/>
    </row>
    <row r="925" spans="1:26" ht="16.5" customHeight="1">
      <c r="A925" s="237"/>
      <c r="B925" s="237"/>
      <c r="C925" s="237"/>
      <c r="D925" s="226"/>
      <c r="E925" s="226"/>
      <c r="F925" s="226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226"/>
      <c r="S925" s="226"/>
      <c r="T925" s="226"/>
      <c r="U925" s="226"/>
      <c r="V925" s="226"/>
      <c r="W925" s="226"/>
      <c r="X925" s="226"/>
      <c r="Y925" s="226"/>
      <c r="Z925" s="226"/>
    </row>
    <row r="926" spans="1:26" ht="16.5" customHeight="1">
      <c r="A926" s="237"/>
      <c r="B926" s="237"/>
      <c r="C926" s="237"/>
      <c r="D926" s="226"/>
      <c r="E926" s="226"/>
      <c r="F926" s="226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226"/>
      <c r="S926" s="226"/>
      <c r="T926" s="226"/>
      <c r="U926" s="226"/>
      <c r="V926" s="226"/>
      <c r="W926" s="226"/>
      <c r="X926" s="226"/>
      <c r="Y926" s="226"/>
      <c r="Z926" s="226"/>
    </row>
    <row r="927" spans="1:26" ht="16.5" customHeight="1">
      <c r="A927" s="237"/>
      <c r="B927" s="237"/>
      <c r="C927" s="237"/>
      <c r="D927" s="226"/>
      <c r="E927" s="226"/>
      <c r="F927" s="226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226"/>
      <c r="S927" s="226"/>
      <c r="T927" s="226"/>
      <c r="U927" s="226"/>
      <c r="V927" s="226"/>
      <c r="W927" s="226"/>
      <c r="X927" s="226"/>
      <c r="Y927" s="226"/>
      <c r="Z927" s="226"/>
    </row>
    <row r="928" spans="1:26" ht="16.5" customHeight="1">
      <c r="A928" s="237"/>
      <c r="B928" s="237"/>
      <c r="C928" s="237"/>
      <c r="D928" s="226"/>
      <c r="E928" s="226"/>
      <c r="F928" s="226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226"/>
      <c r="S928" s="226"/>
      <c r="T928" s="226"/>
      <c r="U928" s="226"/>
      <c r="V928" s="226"/>
      <c r="W928" s="226"/>
      <c r="X928" s="226"/>
      <c r="Y928" s="226"/>
      <c r="Z928" s="226"/>
    </row>
    <row r="929" spans="1:26" ht="16.5" customHeight="1">
      <c r="A929" s="237"/>
      <c r="B929" s="237"/>
      <c r="C929" s="237"/>
      <c r="D929" s="226"/>
      <c r="E929" s="226"/>
      <c r="F929" s="226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226"/>
      <c r="S929" s="226"/>
      <c r="T929" s="226"/>
      <c r="U929" s="226"/>
      <c r="V929" s="226"/>
      <c r="W929" s="226"/>
      <c r="X929" s="226"/>
      <c r="Y929" s="226"/>
      <c r="Z929" s="226"/>
    </row>
    <row r="930" spans="1:26" ht="16.5" customHeight="1">
      <c r="A930" s="237"/>
      <c r="B930" s="237"/>
      <c r="C930" s="237"/>
      <c r="D930" s="226"/>
      <c r="E930" s="226"/>
      <c r="F930" s="226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226"/>
      <c r="S930" s="226"/>
      <c r="T930" s="226"/>
      <c r="U930" s="226"/>
      <c r="V930" s="226"/>
      <c r="W930" s="226"/>
      <c r="X930" s="226"/>
      <c r="Y930" s="226"/>
      <c r="Z930" s="226"/>
    </row>
    <row r="931" spans="1:26" ht="16.5" customHeight="1">
      <c r="A931" s="237"/>
      <c r="B931" s="237"/>
      <c r="C931" s="237"/>
      <c r="D931" s="226"/>
      <c r="E931" s="226"/>
      <c r="F931" s="226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226"/>
      <c r="S931" s="226"/>
      <c r="T931" s="226"/>
      <c r="U931" s="226"/>
      <c r="V931" s="226"/>
      <c r="W931" s="226"/>
      <c r="X931" s="226"/>
      <c r="Y931" s="226"/>
      <c r="Z931" s="226"/>
    </row>
    <row r="932" spans="1:26" ht="16.5" customHeight="1">
      <c r="A932" s="237"/>
      <c r="B932" s="237"/>
      <c r="C932" s="237"/>
      <c r="D932" s="226"/>
      <c r="E932" s="226"/>
      <c r="F932" s="226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226"/>
      <c r="S932" s="226"/>
      <c r="T932" s="226"/>
      <c r="U932" s="226"/>
      <c r="V932" s="226"/>
      <c r="W932" s="226"/>
      <c r="X932" s="226"/>
      <c r="Y932" s="226"/>
      <c r="Z932" s="226"/>
    </row>
    <row r="933" spans="1:26" ht="16.5" customHeight="1">
      <c r="A933" s="237"/>
      <c r="B933" s="237"/>
      <c r="C933" s="237"/>
      <c r="D933" s="226"/>
      <c r="E933" s="226"/>
      <c r="F933" s="226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226"/>
      <c r="S933" s="226"/>
      <c r="T933" s="226"/>
      <c r="U933" s="226"/>
      <c r="V933" s="226"/>
      <c r="W933" s="226"/>
      <c r="X933" s="226"/>
      <c r="Y933" s="226"/>
      <c r="Z933" s="226"/>
    </row>
    <row r="934" spans="1:26" ht="16.5" customHeight="1">
      <c r="A934" s="237"/>
      <c r="B934" s="237"/>
      <c r="C934" s="237"/>
      <c r="D934" s="226"/>
      <c r="E934" s="226"/>
      <c r="F934" s="226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226"/>
      <c r="S934" s="226"/>
      <c r="T934" s="226"/>
      <c r="U934" s="226"/>
      <c r="V934" s="226"/>
      <c r="W934" s="226"/>
      <c r="X934" s="226"/>
      <c r="Y934" s="226"/>
      <c r="Z934" s="226"/>
    </row>
    <row r="935" spans="1:26" ht="16.5" customHeight="1">
      <c r="A935" s="237"/>
      <c r="B935" s="237"/>
      <c r="C935" s="237"/>
      <c r="D935" s="226"/>
      <c r="E935" s="226"/>
      <c r="F935" s="226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226"/>
      <c r="S935" s="226"/>
      <c r="T935" s="226"/>
      <c r="U935" s="226"/>
      <c r="V935" s="226"/>
      <c r="W935" s="226"/>
      <c r="X935" s="226"/>
      <c r="Y935" s="226"/>
      <c r="Z935" s="226"/>
    </row>
    <row r="936" spans="1:26" ht="16.5" customHeight="1">
      <c r="A936" s="237"/>
      <c r="B936" s="237"/>
      <c r="C936" s="237"/>
      <c r="D936" s="226"/>
      <c r="E936" s="226"/>
      <c r="F936" s="226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226"/>
      <c r="S936" s="226"/>
      <c r="T936" s="226"/>
      <c r="U936" s="226"/>
      <c r="V936" s="226"/>
      <c r="W936" s="226"/>
      <c r="X936" s="226"/>
      <c r="Y936" s="226"/>
      <c r="Z936" s="226"/>
    </row>
    <row r="937" spans="1:26" ht="16.5" customHeight="1">
      <c r="A937" s="237"/>
      <c r="B937" s="237"/>
      <c r="C937" s="237"/>
      <c r="D937" s="226"/>
      <c r="E937" s="226"/>
      <c r="F937" s="226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226"/>
      <c r="S937" s="226"/>
      <c r="T937" s="226"/>
      <c r="U937" s="226"/>
      <c r="V937" s="226"/>
      <c r="W937" s="226"/>
      <c r="X937" s="226"/>
      <c r="Y937" s="226"/>
      <c r="Z937" s="226"/>
    </row>
    <row r="938" spans="1:26" ht="16.5" customHeight="1">
      <c r="A938" s="237"/>
      <c r="B938" s="237"/>
      <c r="C938" s="237"/>
      <c r="D938" s="226"/>
      <c r="E938" s="226"/>
      <c r="F938" s="226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226"/>
      <c r="S938" s="226"/>
      <c r="T938" s="226"/>
      <c r="U938" s="226"/>
      <c r="V938" s="226"/>
      <c r="W938" s="226"/>
      <c r="X938" s="226"/>
      <c r="Y938" s="226"/>
      <c r="Z938" s="226"/>
    </row>
    <row r="939" spans="1:26" ht="16.5" customHeight="1">
      <c r="A939" s="237"/>
      <c r="B939" s="237"/>
      <c r="C939" s="237"/>
      <c r="D939" s="226"/>
      <c r="E939" s="226"/>
      <c r="F939" s="226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226"/>
      <c r="S939" s="226"/>
      <c r="T939" s="226"/>
      <c r="U939" s="226"/>
      <c r="V939" s="226"/>
      <c r="W939" s="226"/>
      <c r="X939" s="226"/>
      <c r="Y939" s="226"/>
      <c r="Z939" s="226"/>
    </row>
    <row r="940" spans="1:26" ht="16.5" customHeight="1">
      <c r="A940" s="237"/>
      <c r="B940" s="237"/>
      <c r="C940" s="237"/>
      <c r="D940" s="226"/>
      <c r="E940" s="226"/>
      <c r="F940" s="226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226"/>
      <c r="S940" s="226"/>
      <c r="T940" s="226"/>
      <c r="U940" s="226"/>
      <c r="V940" s="226"/>
      <c r="W940" s="226"/>
      <c r="X940" s="226"/>
      <c r="Y940" s="226"/>
      <c r="Z940" s="226"/>
    </row>
    <row r="941" spans="1:26" ht="16.5" customHeight="1">
      <c r="A941" s="237"/>
      <c r="B941" s="237"/>
      <c r="C941" s="237"/>
      <c r="D941" s="226"/>
      <c r="E941" s="226"/>
      <c r="F941" s="226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226"/>
      <c r="S941" s="226"/>
      <c r="T941" s="226"/>
      <c r="U941" s="226"/>
      <c r="V941" s="226"/>
      <c r="W941" s="226"/>
      <c r="X941" s="226"/>
      <c r="Y941" s="226"/>
      <c r="Z941" s="226"/>
    </row>
    <row r="942" spans="1:26" ht="16.5" customHeight="1">
      <c r="A942" s="237"/>
      <c r="B942" s="237"/>
      <c r="C942" s="237"/>
      <c r="D942" s="226"/>
      <c r="E942" s="226"/>
      <c r="F942" s="226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226"/>
      <c r="S942" s="226"/>
      <c r="T942" s="226"/>
      <c r="U942" s="226"/>
      <c r="V942" s="226"/>
      <c r="W942" s="226"/>
      <c r="X942" s="226"/>
      <c r="Y942" s="226"/>
      <c r="Z942" s="226"/>
    </row>
    <row r="943" spans="1:26" ht="16.5" customHeight="1">
      <c r="A943" s="237"/>
      <c r="B943" s="237"/>
      <c r="C943" s="237"/>
      <c r="D943" s="226"/>
      <c r="E943" s="226"/>
      <c r="F943" s="226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226"/>
      <c r="S943" s="226"/>
      <c r="T943" s="226"/>
      <c r="U943" s="226"/>
      <c r="V943" s="226"/>
      <c r="W943" s="226"/>
      <c r="X943" s="226"/>
      <c r="Y943" s="226"/>
      <c r="Z943" s="226"/>
    </row>
    <row r="944" spans="1:26" ht="16.5" customHeight="1">
      <c r="A944" s="237"/>
      <c r="B944" s="237"/>
      <c r="C944" s="237"/>
      <c r="D944" s="226"/>
      <c r="E944" s="226"/>
      <c r="F944" s="226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226"/>
      <c r="S944" s="226"/>
      <c r="T944" s="226"/>
      <c r="U944" s="226"/>
      <c r="V944" s="226"/>
      <c r="W944" s="226"/>
      <c r="X944" s="226"/>
      <c r="Y944" s="226"/>
      <c r="Z944" s="226"/>
    </row>
    <row r="945" spans="1:26" ht="16.5" customHeight="1">
      <c r="A945" s="237"/>
      <c r="B945" s="237"/>
      <c r="C945" s="237"/>
      <c r="D945" s="226"/>
      <c r="E945" s="226"/>
      <c r="F945" s="226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226"/>
      <c r="S945" s="226"/>
      <c r="T945" s="226"/>
      <c r="U945" s="226"/>
      <c r="V945" s="226"/>
      <c r="W945" s="226"/>
      <c r="X945" s="226"/>
      <c r="Y945" s="226"/>
      <c r="Z945" s="226"/>
    </row>
    <row r="946" spans="1:26" ht="16.5" customHeight="1">
      <c r="A946" s="237"/>
      <c r="B946" s="237"/>
      <c r="C946" s="237"/>
      <c r="D946" s="226"/>
      <c r="E946" s="226"/>
      <c r="F946" s="226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226"/>
      <c r="S946" s="226"/>
      <c r="T946" s="226"/>
      <c r="U946" s="226"/>
      <c r="V946" s="226"/>
      <c r="W946" s="226"/>
      <c r="X946" s="226"/>
      <c r="Y946" s="226"/>
      <c r="Z946" s="226"/>
    </row>
    <row r="947" spans="1:26" ht="16.5" customHeight="1">
      <c r="A947" s="237"/>
      <c r="B947" s="237"/>
      <c r="C947" s="237"/>
      <c r="D947" s="226"/>
      <c r="E947" s="226"/>
      <c r="F947" s="226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226"/>
      <c r="S947" s="226"/>
      <c r="T947" s="226"/>
      <c r="U947" s="226"/>
      <c r="V947" s="226"/>
      <c r="W947" s="226"/>
      <c r="X947" s="226"/>
      <c r="Y947" s="226"/>
      <c r="Z947" s="226"/>
    </row>
    <row r="948" spans="1:26" ht="16.5" customHeight="1">
      <c r="A948" s="237"/>
      <c r="B948" s="237"/>
      <c r="C948" s="237"/>
      <c r="D948" s="226"/>
      <c r="E948" s="226"/>
      <c r="F948" s="226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226"/>
      <c r="S948" s="226"/>
      <c r="T948" s="226"/>
      <c r="U948" s="226"/>
      <c r="V948" s="226"/>
      <c r="W948" s="226"/>
      <c r="X948" s="226"/>
      <c r="Y948" s="226"/>
      <c r="Z948" s="226"/>
    </row>
    <row r="949" spans="1:26" ht="16.5" customHeight="1">
      <c r="A949" s="237"/>
      <c r="B949" s="237"/>
      <c r="C949" s="237"/>
      <c r="D949" s="226"/>
      <c r="E949" s="226"/>
      <c r="F949" s="226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226"/>
      <c r="S949" s="226"/>
      <c r="T949" s="226"/>
      <c r="U949" s="226"/>
      <c r="V949" s="226"/>
      <c r="W949" s="226"/>
      <c r="X949" s="226"/>
      <c r="Y949" s="226"/>
      <c r="Z949" s="226"/>
    </row>
    <row r="950" spans="1:26" ht="16.5" customHeight="1">
      <c r="A950" s="237"/>
      <c r="B950" s="237"/>
      <c r="C950" s="237"/>
      <c r="D950" s="226"/>
      <c r="E950" s="226"/>
      <c r="F950" s="226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226"/>
      <c r="S950" s="226"/>
      <c r="T950" s="226"/>
      <c r="U950" s="226"/>
      <c r="V950" s="226"/>
      <c r="W950" s="226"/>
      <c r="X950" s="226"/>
      <c r="Y950" s="226"/>
      <c r="Z950" s="226"/>
    </row>
    <row r="951" spans="1:26" ht="16.5" customHeight="1">
      <c r="A951" s="237"/>
      <c r="B951" s="237"/>
      <c r="C951" s="237"/>
      <c r="D951" s="226"/>
      <c r="E951" s="226"/>
      <c r="F951" s="226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226"/>
      <c r="S951" s="226"/>
      <c r="T951" s="226"/>
      <c r="U951" s="226"/>
      <c r="V951" s="226"/>
      <c r="W951" s="226"/>
      <c r="X951" s="226"/>
      <c r="Y951" s="226"/>
      <c r="Z951" s="226"/>
    </row>
    <row r="952" spans="1:26" ht="16.5" customHeight="1">
      <c r="A952" s="237"/>
      <c r="B952" s="237"/>
      <c r="C952" s="237"/>
      <c r="D952" s="226"/>
      <c r="E952" s="226"/>
      <c r="F952" s="226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226"/>
      <c r="S952" s="226"/>
      <c r="T952" s="226"/>
      <c r="U952" s="226"/>
      <c r="V952" s="226"/>
      <c r="W952" s="226"/>
      <c r="X952" s="226"/>
      <c r="Y952" s="226"/>
      <c r="Z952" s="226"/>
    </row>
    <row r="953" spans="1:26" ht="16.5" customHeight="1">
      <c r="A953" s="237"/>
      <c r="B953" s="237"/>
      <c r="C953" s="237"/>
      <c r="D953" s="226"/>
      <c r="E953" s="226"/>
      <c r="F953" s="226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226"/>
      <c r="S953" s="226"/>
      <c r="T953" s="226"/>
      <c r="U953" s="226"/>
      <c r="V953" s="226"/>
      <c r="W953" s="226"/>
      <c r="X953" s="226"/>
      <c r="Y953" s="226"/>
      <c r="Z953" s="226"/>
    </row>
    <row r="954" spans="1:26" ht="16.5" customHeight="1">
      <c r="A954" s="237"/>
      <c r="B954" s="237"/>
      <c r="C954" s="237"/>
      <c r="D954" s="226"/>
      <c r="E954" s="226"/>
      <c r="F954" s="226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226"/>
      <c r="S954" s="226"/>
      <c r="T954" s="226"/>
      <c r="U954" s="226"/>
      <c r="V954" s="226"/>
      <c r="W954" s="226"/>
      <c r="X954" s="226"/>
      <c r="Y954" s="226"/>
      <c r="Z954" s="226"/>
    </row>
    <row r="955" spans="1:26" ht="16.5" customHeight="1">
      <c r="A955" s="237"/>
      <c r="B955" s="237"/>
      <c r="C955" s="237"/>
      <c r="D955" s="226"/>
      <c r="E955" s="226"/>
      <c r="F955" s="226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226"/>
      <c r="S955" s="226"/>
      <c r="T955" s="226"/>
      <c r="U955" s="226"/>
      <c r="V955" s="226"/>
      <c r="W955" s="226"/>
      <c r="X955" s="226"/>
      <c r="Y955" s="226"/>
      <c r="Z955" s="226"/>
    </row>
    <row r="956" spans="1:26" ht="16.5" customHeight="1">
      <c r="A956" s="237"/>
      <c r="B956" s="237"/>
      <c r="C956" s="237"/>
      <c r="D956" s="226"/>
      <c r="E956" s="226"/>
      <c r="F956" s="226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226"/>
      <c r="S956" s="226"/>
      <c r="T956" s="226"/>
      <c r="U956" s="226"/>
      <c r="V956" s="226"/>
      <c r="W956" s="226"/>
      <c r="X956" s="226"/>
      <c r="Y956" s="226"/>
      <c r="Z956" s="226"/>
    </row>
    <row r="957" spans="1:26" ht="16.5" customHeight="1">
      <c r="A957" s="237"/>
      <c r="B957" s="237"/>
      <c r="C957" s="237"/>
      <c r="D957" s="226"/>
      <c r="E957" s="226"/>
      <c r="F957" s="226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226"/>
      <c r="S957" s="226"/>
      <c r="T957" s="226"/>
      <c r="U957" s="226"/>
      <c r="V957" s="226"/>
      <c r="W957" s="226"/>
      <c r="X957" s="226"/>
      <c r="Y957" s="226"/>
      <c r="Z957" s="226"/>
    </row>
    <row r="958" spans="1:26" ht="16.5" customHeight="1">
      <c r="A958" s="237"/>
      <c r="B958" s="237"/>
      <c r="C958" s="237"/>
      <c r="D958" s="226"/>
      <c r="E958" s="226"/>
      <c r="F958" s="226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226"/>
      <c r="S958" s="226"/>
      <c r="T958" s="226"/>
      <c r="U958" s="226"/>
      <c r="V958" s="226"/>
      <c r="W958" s="226"/>
      <c r="X958" s="226"/>
      <c r="Y958" s="226"/>
      <c r="Z958" s="226"/>
    </row>
    <row r="959" spans="1:26" ht="16.5" customHeight="1">
      <c r="A959" s="237"/>
      <c r="B959" s="237"/>
      <c r="C959" s="237"/>
      <c r="D959" s="226"/>
      <c r="E959" s="226"/>
      <c r="F959" s="226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226"/>
      <c r="S959" s="226"/>
      <c r="T959" s="226"/>
      <c r="U959" s="226"/>
      <c r="V959" s="226"/>
      <c r="W959" s="226"/>
      <c r="X959" s="226"/>
      <c r="Y959" s="226"/>
      <c r="Z959" s="226"/>
    </row>
    <row r="960" spans="1:26" ht="16.5" customHeight="1">
      <c r="A960" s="237"/>
      <c r="B960" s="237"/>
      <c r="C960" s="237"/>
      <c r="D960" s="226"/>
      <c r="E960" s="226"/>
      <c r="F960" s="226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226"/>
      <c r="S960" s="226"/>
      <c r="T960" s="226"/>
      <c r="U960" s="226"/>
      <c r="V960" s="226"/>
      <c r="W960" s="226"/>
      <c r="X960" s="226"/>
      <c r="Y960" s="226"/>
      <c r="Z960" s="226"/>
    </row>
    <row r="961" spans="1:26" ht="16.5" customHeight="1">
      <c r="A961" s="237"/>
      <c r="B961" s="237"/>
      <c r="C961" s="237"/>
      <c r="D961" s="226"/>
      <c r="E961" s="226"/>
      <c r="F961" s="226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226"/>
      <c r="S961" s="226"/>
      <c r="T961" s="226"/>
      <c r="U961" s="226"/>
      <c r="V961" s="226"/>
      <c r="W961" s="226"/>
      <c r="X961" s="226"/>
      <c r="Y961" s="226"/>
      <c r="Z961" s="226"/>
    </row>
    <row r="962" spans="1:26" ht="16.5" customHeight="1">
      <c r="A962" s="237"/>
      <c r="B962" s="237"/>
      <c r="C962" s="237"/>
      <c r="D962" s="226"/>
      <c r="E962" s="226"/>
      <c r="F962" s="226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226"/>
      <c r="S962" s="226"/>
      <c r="T962" s="226"/>
      <c r="U962" s="226"/>
      <c r="V962" s="226"/>
      <c r="W962" s="226"/>
      <c r="X962" s="226"/>
      <c r="Y962" s="226"/>
      <c r="Z962" s="226"/>
    </row>
    <row r="963" spans="1:26" ht="16.5" customHeight="1">
      <c r="A963" s="237"/>
      <c r="B963" s="237"/>
      <c r="C963" s="237"/>
      <c r="D963" s="226"/>
      <c r="E963" s="226"/>
      <c r="F963" s="226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226"/>
      <c r="S963" s="226"/>
      <c r="T963" s="226"/>
      <c r="U963" s="226"/>
      <c r="V963" s="226"/>
      <c r="W963" s="226"/>
      <c r="X963" s="226"/>
      <c r="Y963" s="226"/>
      <c r="Z963" s="226"/>
    </row>
    <row r="964" spans="1:26" ht="16.5" customHeight="1">
      <c r="A964" s="237"/>
      <c r="B964" s="237"/>
      <c r="C964" s="237"/>
      <c r="D964" s="226"/>
      <c r="E964" s="226"/>
      <c r="F964" s="226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226"/>
      <c r="S964" s="226"/>
      <c r="T964" s="226"/>
      <c r="U964" s="226"/>
      <c r="V964" s="226"/>
      <c r="W964" s="226"/>
      <c r="X964" s="226"/>
      <c r="Y964" s="226"/>
      <c r="Z964" s="226"/>
    </row>
    <row r="965" spans="1:26" ht="16.5" customHeight="1">
      <c r="A965" s="237"/>
      <c r="B965" s="237"/>
      <c r="C965" s="237"/>
      <c r="D965" s="226"/>
      <c r="E965" s="226"/>
      <c r="F965" s="226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226"/>
      <c r="S965" s="226"/>
      <c r="T965" s="226"/>
      <c r="U965" s="226"/>
      <c r="V965" s="226"/>
      <c r="W965" s="226"/>
      <c r="X965" s="226"/>
      <c r="Y965" s="226"/>
      <c r="Z965" s="226"/>
    </row>
    <row r="966" spans="1:26" ht="16.5" customHeight="1">
      <c r="A966" s="237"/>
      <c r="B966" s="237"/>
      <c r="C966" s="237"/>
      <c r="D966" s="226"/>
      <c r="E966" s="226"/>
      <c r="F966" s="226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226"/>
      <c r="S966" s="226"/>
      <c r="T966" s="226"/>
      <c r="U966" s="226"/>
      <c r="V966" s="226"/>
      <c r="W966" s="226"/>
      <c r="X966" s="226"/>
      <c r="Y966" s="226"/>
      <c r="Z966" s="226"/>
    </row>
    <row r="967" spans="1:26" ht="16.5" customHeight="1">
      <c r="A967" s="237"/>
      <c r="B967" s="237"/>
      <c r="C967" s="237"/>
      <c r="D967" s="226"/>
      <c r="E967" s="226"/>
      <c r="F967" s="226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226"/>
      <c r="S967" s="226"/>
      <c r="T967" s="226"/>
      <c r="U967" s="226"/>
      <c r="V967" s="226"/>
      <c r="W967" s="226"/>
      <c r="X967" s="226"/>
      <c r="Y967" s="226"/>
      <c r="Z967" s="226"/>
    </row>
    <row r="968" spans="1:26" ht="16.5" customHeight="1">
      <c r="A968" s="237"/>
      <c r="B968" s="237"/>
      <c r="C968" s="237"/>
      <c r="D968" s="226"/>
      <c r="E968" s="226"/>
      <c r="F968" s="226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226"/>
      <c r="S968" s="226"/>
      <c r="T968" s="226"/>
      <c r="U968" s="226"/>
      <c r="V968" s="226"/>
      <c r="W968" s="226"/>
      <c r="X968" s="226"/>
      <c r="Y968" s="226"/>
      <c r="Z968" s="226"/>
    </row>
    <row r="969" spans="1:26" ht="16.5" customHeight="1">
      <c r="A969" s="237"/>
      <c r="B969" s="237"/>
      <c r="C969" s="237"/>
      <c r="D969" s="226"/>
      <c r="E969" s="226"/>
      <c r="F969" s="226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226"/>
      <c r="S969" s="226"/>
      <c r="T969" s="226"/>
      <c r="U969" s="226"/>
      <c r="V969" s="226"/>
      <c r="W969" s="226"/>
      <c r="X969" s="226"/>
      <c r="Y969" s="226"/>
      <c r="Z969" s="226"/>
    </row>
    <row r="970" spans="1:26" ht="16.5" customHeight="1">
      <c r="A970" s="237"/>
      <c r="B970" s="237"/>
      <c r="C970" s="237"/>
      <c r="D970" s="226"/>
      <c r="E970" s="226"/>
      <c r="F970" s="226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226"/>
      <c r="S970" s="226"/>
      <c r="T970" s="226"/>
      <c r="U970" s="226"/>
      <c r="V970" s="226"/>
      <c r="W970" s="226"/>
      <c r="X970" s="226"/>
      <c r="Y970" s="226"/>
      <c r="Z970" s="226"/>
    </row>
    <row r="971" spans="1:26" ht="16.5" customHeight="1">
      <c r="A971" s="237"/>
      <c r="B971" s="237"/>
      <c r="C971" s="237"/>
      <c r="D971" s="226"/>
      <c r="E971" s="226"/>
      <c r="F971" s="226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226"/>
      <c r="S971" s="226"/>
      <c r="T971" s="226"/>
      <c r="U971" s="226"/>
      <c r="V971" s="226"/>
      <c r="W971" s="226"/>
      <c r="X971" s="226"/>
      <c r="Y971" s="226"/>
      <c r="Z971" s="226"/>
    </row>
    <row r="972" spans="1:26" ht="16.5" customHeight="1">
      <c r="A972" s="237"/>
      <c r="B972" s="237"/>
      <c r="C972" s="237"/>
      <c r="D972" s="226"/>
      <c r="E972" s="226"/>
      <c r="F972" s="226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226"/>
      <c r="S972" s="226"/>
      <c r="T972" s="226"/>
      <c r="U972" s="226"/>
      <c r="V972" s="226"/>
      <c r="W972" s="226"/>
      <c r="X972" s="226"/>
      <c r="Y972" s="226"/>
      <c r="Z972" s="226"/>
    </row>
    <row r="973" spans="1:26" ht="16.5" customHeight="1">
      <c r="A973" s="237"/>
      <c r="B973" s="237"/>
      <c r="C973" s="237"/>
      <c r="D973" s="226"/>
      <c r="E973" s="226"/>
      <c r="F973" s="226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226"/>
      <c r="S973" s="226"/>
      <c r="T973" s="226"/>
      <c r="U973" s="226"/>
      <c r="V973" s="226"/>
      <c r="W973" s="226"/>
      <c r="X973" s="226"/>
      <c r="Y973" s="226"/>
      <c r="Z973" s="226"/>
    </row>
    <row r="974" spans="1:26" ht="16.5" customHeight="1">
      <c r="A974" s="237"/>
      <c r="B974" s="237"/>
      <c r="C974" s="237"/>
      <c r="D974" s="226"/>
      <c r="E974" s="226"/>
      <c r="F974" s="226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226"/>
      <c r="S974" s="226"/>
      <c r="T974" s="226"/>
      <c r="U974" s="226"/>
      <c r="V974" s="226"/>
      <c r="W974" s="226"/>
      <c r="X974" s="226"/>
      <c r="Y974" s="226"/>
      <c r="Z974" s="226"/>
    </row>
    <row r="975" spans="1:26" ht="16.5" customHeight="1">
      <c r="A975" s="237"/>
      <c r="B975" s="237"/>
      <c r="C975" s="237"/>
      <c r="D975" s="226"/>
      <c r="E975" s="226"/>
      <c r="F975" s="226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226"/>
      <c r="S975" s="226"/>
      <c r="T975" s="226"/>
      <c r="U975" s="226"/>
      <c r="V975" s="226"/>
      <c r="W975" s="226"/>
      <c r="X975" s="226"/>
      <c r="Y975" s="226"/>
      <c r="Z975" s="226"/>
    </row>
    <row r="976" spans="1:26" ht="16.5" customHeight="1">
      <c r="A976" s="237"/>
      <c r="B976" s="237"/>
      <c r="C976" s="237"/>
      <c r="D976" s="226"/>
      <c r="E976" s="226"/>
      <c r="F976" s="226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226"/>
      <c r="S976" s="226"/>
      <c r="T976" s="226"/>
      <c r="U976" s="226"/>
      <c r="V976" s="226"/>
      <c r="W976" s="226"/>
      <c r="X976" s="226"/>
      <c r="Y976" s="226"/>
      <c r="Z976" s="226"/>
    </row>
    <row r="977" spans="1:26" ht="16.5" customHeight="1">
      <c r="A977" s="237"/>
      <c r="B977" s="237"/>
      <c r="C977" s="237"/>
      <c r="D977" s="226"/>
      <c r="E977" s="226"/>
      <c r="F977" s="226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226"/>
      <c r="S977" s="226"/>
      <c r="T977" s="226"/>
      <c r="U977" s="226"/>
      <c r="V977" s="226"/>
      <c r="W977" s="226"/>
      <c r="X977" s="226"/>
      <c r="Y977" s="226"/>
      <c r="Z977" s="226"/>
    </row>
    <row r="978" spans="1:26" ht="16.5" customHeight="1">
      <c r="A978" s="237"/>
      <c r="B978" s="237"/>
      <c r="C978" s="237"/>
      <c r="D978" s="226"/>
      <c r="E978" s="226"/>
      <c r="F978" s="226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226"/>
      <c r="S978" s="226"/>
      <c r="T978" s="226"/>
      <c r="U978" s="226"/>
      <c r="V978" s="226"/>
      <c r="W978" s="226"/>
      <c r="X978" s="226"/>
      <c r="Y978" s="226"/>
      <c r="Z978" s="226"/>
    </row>
    <row r="979" spans="1:26" ht="16.5" customHeight="1">
      <c r="A979" s="237"/>
      <c r="B979" s="237"/>
      <c r="C979" s="237"/>
      <c r="D979" s="226"/>
      <c r="E979" s="226"/>
      <c r="F979" s="226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226"/>
      <c r="S979" s="226"/>
      <c r="T979" s="226"/>
      <c r="U979" s="226"/>
      <c r="V979" s="226"/>
      <c r="W979" s="226"/>
      <c r="X979" s="226"/>
      <c r="Y979" s="226"/>
      <c r="Z979" s="226"/>
    </row>
    <row r="980" spans="1:26" ht="16.5" customHeight="1">
      <c r="A980" s="237"/>
      <c r="B980" s="237"/>
      <c r="C980" s="237"/>
      <c r="D980" s="226"/>
      <c r="E980" s="226"/>
      <c r="F980" s="226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226"/>
      <c r="S980" s="226"/>
      <c r="T980" s="226"/>
      <c r="U980" s="226"/>
      <c r="V980" s="226"/>
      <c r="W980" s="226"/>
      <c r="X980" s="226"/>
      <c r="Y980" s="226"/>
      <c r="Z980" s="226"/>
    </row>
    <row r="981" spans="1:26" ht="16.5" customHeight="1">
      <c r="A981" s="237"/>
      <c r="B981" s="237"/>
      <c r="C981" s="237"/>
      <c r="D981" s="226"/>
      <c r="E981" s="226"/>
      <c r="F981" s="226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226"/>
      <c r="S981" s="226"/>
      <c r="T981" s="226"/>
      <c r="U981" s="226"/>
      <c r="V981" s="226"/>
      <c r="W981" s="226"/>
      <c r="X981" s="226"/>
      <c r="Y981" s="226"/>
      <c r="Z981" s="226"/>
    </row>
    <row r="982" spans="1:26" ht="16.5" customHeight="1">
      <c r="A982" s="237"/>
      <c r="B982" s="237"/>
      <c r="C982" s="237"/>
      <c r="D982" s="226"/>
      <c r="E982" s="226"/>
      <c r="F982" s="226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226"/>
      <c r="S982" s="226"/>
      <c r="T982" s="226"/>
      <c r="U982" s="226"/>
      <c r="V982" s="226"/>
      <c r="W982" s="226"/>
      <c r="X982" s="226"/>
      <c r="Y982" s="226"/>
      <c r="Z982" s="226"/>
    </row>
    <row r="983" spans="1:26" ht="16.5" customHeight="1">
      <c r="A983" s="237"/>
      <c r="B983" s="237"/>
      <c r="C983" s="237"/>
      <c r="D983" s="226"/>
      <c r="E983" s="226"/>
      <c r="F983" s="226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226"/>
      <c r="S983" s="226"/>
      <c r="T983" s="226"/>
      <c r="U983" s="226"/>
      <c r="V983" s="226"/>
      <c r="W983" s="226"/>
      <c r="X983" s="226"/>
      <c r="Y983" s="226"/>
      <c r="Z983" s="226"/>
    </row>
    <row r="984" spans="1:26" ht="16.5" customHeight="1">
      <c r="A984" s="237"/>
      <c r="B984" s="237"/>
      <c r="C984" s="237"/>
      <c r="D984" s="226"/>
      <c r="E984" s="226"/>
      <c r="F984" s="226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226"/>
      <c r="S984" s="226"/>
      <c r="T984" s="226"/>
      <c r="U984" s="226"/>
      <c r="V984" s="226"/>
      <c r="W984" s="226"/>
      <c r="X984" s="226"/>
      <c r="Y984" s="226"/>
      <c r="Z984" s="226"/>
    </row>
    <row r="985" spans="1:26" ht="16.5" customHeight="1">
      <c r="A985" s="237"/>
      <c r="B985" s="237"/>
      <c r="C985" s="237"/>
      <c r="D985" s="226"/>
      <c r="E985" s="226"/>
      <c r="F985" s="226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226"/>
      <c r="S985" s="226"/>
      <c r="T985" s="226"/>
      <c r="U985" s="226"/>
      <c r="V985" s="226"/>
      <c r="W985" s="226"/>
      <c r="X985" s="226"/>
      <c r="Y985" s="226"/>
      <c r="Z985" s="226"/>
    </row>
    <row r="986" spans="1:26" ht="16.5" customHeight="1">
      <c r="A986" s="237"/>
      <c r="B986" s="237"/>
      <c r="C986" s="237"/>
      <c r="D986" s="226"/>
      <c r="E986" s="226"/>
      <c r="F986" s="226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226"/>
      <c r="S986" s="226"/>
      <c r="T986" s="226"/>
      <c r="U986" s="226"/>
      <c r="V986" s="226"/>
      <c r="W986" s="226"/>
      <c r="X986" s="226"/>
      <c r="Y986" s="226"/>
      <c r="Z986" s="226"/>
    </row>
    <row r="987" spans="1:26" ht="16.5" customHeight="1">
      <c r="A987" s="237"/>
      <c r="B987" s="237"/>
      <c r="C987" s="237"/>
      <c r="D987" s="226"/>
      <c r="E987" s="226"/>
      <c r="F987" s="226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226"/>
      <c r="S987" s="226"/>
      <c r="T987" s="226"/>
      <c r="U987" s="226"/>
      <c r="V987" s="226"/>
      <c r="W987" s="226"/>
      <c r="X987" s="226"/>
      <c r="Y987" s="226"/>
      <c r="Z987" s="226"/>
    </row>
    <row r="988" spans="1:26" ht="16.5" customHeight="1">
      <c r="A988" s="237"/>
      <c r="B988" s="237"/>
      <c r="C988" s="237"/>
      <c r="D988" s="226"/>
      <c r="E988" s="226"/>
      <c r="F988" s="226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226"/>
      <c r="S988" s="226"/>
      <c r="T988" s="226"/>
      <c r="U988" s="226"/>
      <c r="V988" s="226"/>
      <c r="W988" s="226"/>
      <c r="X988" s="226"/>
      <c r="Y988" s="226"/>
      <c r="Z988" s="226"/>
    </row>
    <row r="989" spans="1:26" ht="16.5" customHeight="1">
      <c r="A989" s="237"/>
      <c r="B989" s="237"/>
      <c r="C989" s="237"/>
      <c r="D989" s="226"/>
      <c r="E989" s="226"/>
      <c r="F989" s="226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226"/>
      <c r="S989" s="226"/>
      <c r="T989" s="226"/>
      <c r="U989" s="226"/>
      <c r="V989" s="226"/>
      <c r="W989" s="226"/>
      <c r="X989" s="226"/>
      <c r="Y989" s="226"/>
      <c r="Z989" s="226"/>
    </row>
    <row r="990" spans="1:26" ht="16.5" customHeight="1">
      <c r="A990" s="237"/>
      <c r="B990" s="237"/>
      <c r="C990" s="237"/>
      <c r="D990" s="226"/>
      <c r="E990" s="226"/>
      <c r="F990" s="226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226"/>
      <c r="S990" s="226"/>
      <c r="T990" s="226"/>
      <c r="U990" s="226"/>
      <c r="V990" s="226"/>
      <c r="W990" s="226"/>
      <c r="X990" s="226"/>
      <c r="Y990" s="226"/>
      <c r="Z990" s="226"/>
    </row>
    <row r="991" spans="1:26" ht="16.5" customHeight="1">
      <c r="A991" s="237"/>
      <c r="B991" s="237"/>
      <c r="C991" s="237"/>
      <c r="D991" s="226"/>
      <c r="E991" s="226"/>
      <c r="F991" s="226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226"/>
      <c r="S991" s="226"/>
      <c r="T991" s="226"/>
      <c r="U991" s="226"/>
      <c r="V991" s="226"/>
      <c r="W991" s="226"/>
      <c r="X991" s="226"/>
      <c r="Y991" s="226"/>
      <c r="Z991" s="226"/>
    </row>
    <row r="992" spans="1:26" ht="16.5" customHeight="1">
      <c r="A992" s="237"/>
      <c r="B992" s="237"/>
      <c r="C992" s="237"/>
      <c r="D992" s="226"/>
      <c r="E992" s="226"/>
      <c r="F992" s="226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226"/>
      <c r="S992" s="226"/>
      <c r="T992" s="226"/>
      <c r="U992" s="226"/>
      <c r="V992" s="226"/>
      <c r="W992" s="226"/>
      <c r="X992" s="226"/>
      <c r="Y992" s="226"/>
      <c r="Z992" s="226"/>
    </row>
    <row r="993" spans="1:26" ht="16.5" customHeight="1">
      <c r="A993" s="237"/>
      <c r="B993" s="237"/>
      <c r="C993" s="237"/>
      <c r="D993" s="226"/>
      <c r="E993" s="226"/>
      <c r="F993" s="226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226"/>
      <c r="S993" s="226"/>
      <c r="T993" s="226"/>
      <c r="U993" s="226"/>
      <c r="V993" s="226"/>
      <c r="W993" s="226"/>
      <c r="X993" s="226"/>
      <c r="Y993" s="226"/>
      <c r="Z993" s="226"/>
    </row>
    <row r="994" spans="1:26" ht="16.5" customHeight="1">
      <c r="A994" s="237"/>
      <c r="B994" s="237"/>
      <c r="C994" s="237"/>
      <c r="D994" s="226"/>
      <c r="E994" s="226"/>
      <c r="F994" s="226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226"/>
      <c r="S994" s="226"/>
      <c r="T994" s="226"/>
      <c r="U994" s="226"/>
      <c r="V994" s="226"/>
      <c r="W994" s="226"/>
      <c r="X994" s="226"/>
      <c r="Y994" s="226"/>
      <c r="Z994" s="226"/>
    </row>
    <row r="995" spans="1:26" ht="16.5" customHeight="1">
      <c r="A995" s="237"/>
      <c r="B995" s="237"/>
      <c r="C995" s="237"/>
      <c r="D995" s="226"/>
      <c r="E995" s="226"/>
      <c r="F995" s="226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226"/>
      <c r="S995" s="226"/>
      <c r="T995" s="226"/>
      <c r="U995" s="226"/>
      <c r="V995" s="226"/>
      <c r="W995" s="226"/>
      <c r="X995" s="226"/>
      <c r="Y995" s="226"/>
      <c r="Z995" s="226"/>
    </row>
    <row r="996" spans="1:26" ht="16.5" customHeight="1">
      <c r="A996" s="237"/>
      <c r="B996" s="237"/>
      <c r="C996" s="237"/>
      <c r="D996" s="226"/>
      <c r="E996" s="226"/>
      <c r="F996" s="226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226"/>
      <c r="S996" s="226"/>
      <c r="T996" s="226"/>
      <c r="U996" s="226"/>
      <c r="V996" s="226"/>
      <c r="W996" s="226"/>
      <c r="X996" s="226"/>
      <c r="Y996" s="226"/>
      <c r="Z996" s="226"/>
    </row>
    <row r="997" spans="1:26" ht="16.5" customHeight="1">
      <c r="A997" s="237"/>
      <c r="B997" s="237"/>
      <c r="C997" s="237"/>
      <c r="D997" s="226"/>
      <c r="E997" s="226"/>
      <c r="F997" s="226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226"/>
      <c r="S997" s="226"/>
      <c r="T997" s="226"/>
      <c r="U997" s="226"/>
      <c r="V997" s="226"/>
      <c r="W997" s="226"/>
      <c r="X997" s="226"/>
      <c r="Y997" s="226"/>
      <c r="Z997" s="226"/>
    </row>
    <row r="998" spans="1:26" ht="16.5" customHeight="1">
      <c r="A998" s="237"/>
      <c r="B998" s="237"/>
      <c r="C998" s="237"/>
      <c r="D998" s="226"/>
      <c r="E998" s="226"/>
      <c r="F998" s="226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226"/>
      <c r="S998" s="226"/>
      <c r="T998" s="226"/>
      <c r="U998" s="226"/>
      <c r="V998" s="226"/>
      <c r="W998" s="226"/>
      <c r="X998" s="226"/>
      <c r="Y998" s="226"/>
      <c r="Z998" s="226"/>
    </row>
    <row r="999" spans="1:26" ht="16.5" customHeight="1">
      <c r="A999" s="237"/>
      <c r="B999" s="237"/>
      <c r="C999" s="237"/>
      <c r="D999" s="226"/>
      <c r="E999" s="226"/>
      <c r="F999" s="226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226"/>
      <c r="S999" s="226"/>
      <c r="T999" s="226"/>
      <c r="U999" s="226"/>
      <c r="V999" s="226"/>
      <c r="W999" s="226"/>
      <c r="X999" s="226"/>
      <c r="Y999" s="226"/>
      <c r="Z999" s="226"/>
    </row>
    <row r="1000" spans="1:26" ht="16.5" customHeight="1">
      <c r="A1000" s="237"/>
      <c r="B1000" s="237"/>
      <c r="C1000" s="237"/>
      <c r="D1000" s="226"/>
      <c r="E1000" s="226"/>
      <c r="F1000" s="226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226"/>
      <c r="S1000" s="226"/>
      <c r="T1000" s="226"/>
      <c r="U1000" s="226"/>
      <c r="V1000" s="226"/>
      <c r="W1000" s="226"/>
      <c r="X1000" s="226"/>
      <c r="Y1000" s="226"/>
      <c r="Z1000" s="226"/>
    </row>
    <row r="1001" spans="1:26" ht="16.5" customHeight="1">
      <c r="A1001" s="237"/>
      <c r="B1001" s="237"/>
      <c r="C1001" s="237"/>
      <c r="D1001" s="226"/>
      <c r="E1001" s="226"/>
      <c r="F1001" s="226"/>
      <c r="G1001" s="226"/>
      <c r="H1001" s="226"/>
      <c r="I1001" s="226"/>
      <c r="J1001" s="226"/>
      <c r="K1001" s="226"/>
      <c r="L1001" s="226"/>
      <c r="M1001" s="226"/>
      <c r="N1001" s="226"/>
      <c r="O1001" s="226"/>
      <c r="P1001" s="226"/>
      <c r="Q1001" s="226"/>
      <c r="R1001" s="226"/>
      <c r="S1001" s="226"/>
      <c r="T1001" s="226"/>
      <c r="U1001" s="226"/>
      <c r="V1001" s="226"/>
      <c r="W1001" s="226"/>
      <c r="X1001" s="226"/>
      <c r="Y1001" s="226"/>
      <c r="Z1001" s="226"/>
    </row>
    <row r="1002" spans="1:26" ht="16.5" customHeight="1">
      <c r="A1002" s="237"/>
      <c r="B1002" s="237"/>
      <c r="C1002" s="237"/>
      <c r="D1002" s="226"/>
      <c r="E1002" s="226"/>
      <c r="F1002" s="226"/>
      <c r="G1002" s="226"/>
      <c r="H1002" s="226"/>
      <c r="I1002" s="226"/>
      <c r="J1002" s="226"/>
      <c r="K1002" s="226"/>
      <c r="L1002" s="226"/>
      <c r="M1002" s="226"/>
      <c r="N1002" s="226"/>
      <c r="O1002" s="226"/>
      <c r="P1002" s="226"/>
      <c r="Q1002" s="226"/>
      <c r="R1002" s="226"/>
      <c r="S1002" s="226"/>
      <c r="T1002" s="226"/>
      <c r="U1002" s="226"/>
      <c r="V1002" s="226"/>
      <c r="W1002" s="226"/>
      <c r="X1002" s="226"/>
      <c r="Y1002" s="226"/>
      <c r="Z1002" s="226"/>
    </row>
    <row r="1003" spans="1:26" ht="16.5" customHeight="1">
      <c r="A1003" s="237"/>
      <c r="B1003" s="237"/>
      <c r="C1003" s="237"/>
      <c r="D1003" s="226"/>
      <c r="E1003" s="226"/>
      <c r="F1003" s="226"/>
      <c r="G1003" s="226"/>
      <c r="H1003" s="226"/>
      <c r="I1003" s="226"/>
      <c r="J1003" s="226"/>
      <c r="K1003" s="226"/>
      <c r="L1003" s="226"/>
      <c r="M1003" s="226"/>
      <c r="N1003" s="226"/>
      <c r="O1003" s="226"/>
      <c r="P1003" s="226"/>
      <c r="Q1003" s="226"/>
      <c r="R1003" s="226"/>
      <c r="S1003" s="226"/>
      <c r="T1003" s="226"/>
      <c r="U1003" s="226"/>
      <c r="V1003" s="226"/>
      <c r="W1003" s="226"/>
      <c r="X1003" s="226"/>
      <c r="Y1003" s="226"/>
      <c r="Z1003" s="226"/>
    </row>
    <row r="1004" spans="1:26" ht="16.5" customHeight="1">
      <c r="A1004" s="237"/>
      <c r="B1004" s="237"/>
      <c r="C1004" s="237"/>
      <c r="D1004" s="226"/>
      <c r="E1004" s="226"/>
      <c r="F1004" s="226"/>
      <c r="G1004" s="226"/>
      <c r="H1004" s="226"/>
      <c r="I1004" s="226"/>
      <c r="J1004" s="226"/>
      <c r="K1004" s="226"/>
      <c r="L1004" s="226"/>
      <c r="M1004" s="226"/>
      <c r="N1004" s="226"/>
      <c r="O1004" s="226"/>
      <c r="P1004" s="226"/>
      <c r="Q1004" s="226"/>
      <c r="R1004" s="226"/>
      <c r="S1004" s="226"/>
      <c r="T1004" s="226"/>
      <c r="U1004" s="226"/>
      <c r="V1004" s="226"/>
      <c r="W1004" s="226"/>
      <c r="X1004" s="226"/>
      <c r="Y1004" s="226"/>
      <c r="Z1004" s="226"/>
    </row>
    <row r="1005" spans="1:26" ht="16.5" customHeight="1">
      <c r="A1005" s="237"/>
      <c r="B1005" s="237"/>
      <c r="C1005" s="237"/>
      <c r="D1005" s="226"/>
      <c r="E1005" s="226"/>
      <c r="F1005" s="226"/>
      <c r="G1005" s="226"/>
      <c r="H1005" s="226"/>
      <c r="I1005" s="226"/>
      <c r="J1005" s="226"/>
      <c r="K1005" s="226"/>
      <c r="L1005" s="226"/>
      <c r="M1005" s="226"/>
      <c r="N1005" s="226"/>
      <c r="O1005" s="226"/>
      <c r="P1005" s="226"/>
      <c r="Q1005" s="226"/>
      <c r="R1005" s="226"/>
      <c r="S1005" s="226"/>
      <c r="T1005" s="226"/>
      <c r="U1005" s="226"/>
      <c r="V1005" s="226"/>
      <c r="W1005" s="226"/>
      <c r="X1005" s="226"/>
      <c r="Y1005" s="226"/>
      <c r="Z1005" s="226"/>
    </row>
    <row r="1006" spans="1:26" ht="16.5" customHeight="1">
      <c r="A1006" s="237"/>
      <c r="B1006" s="237"/>
      <c r="C1006" s="237"/>
      <c r="D1006" s="226"/>
      <c r="E1006" s="226"/>
      <c r="F1006" s="226"/>
      <c r="G1006" s="226"/>
      <c r="H1006" s="226"/>
      <c r="I1006" s="226"/>
      <c r="J1006" s="226"/>
      <c r="K1006" s="226"/>
      <c r="L1006" s="226"/>
      <c r="M1006" s="226"/>
      <c r="N1006" s="226"/>
      <c r="O1006" s="226"/>
      <c r="P1006" s="226"/>
      <c r="Q1006" s="226"/>
      <c r="R1006" s="226"/>
      <c r="S1006" s="226"/>
      <c r="T1006" s="226"/>
      <c r="U1006" s="226"/>
      <c r="V1006" s="226"/>
      <c r="W1006" s="226"/>
      <c r="X1006" s="226"/>
      <c r="Y1006" s="226"/>
      <c r="Z1006" s="226"/>
    </row>
    <row r="1007" spans="1:26" ht="16.5" customHeight="1">
      <c r="A1007" s="237"/>
      <c r="B1007" s="237"/>
      <c r="C1007" s="237"/>
      <c r="D1007" s="226"/>
      <c r="E1007" s="226"/>
      <c r="F1007" s="226"/>
      <c r="G1007" s="226"/>
      <c r="H1007" s="226"/>
      <c r="I1007" s="226"/>
      <c r="J1007" s="226"/>
      <c r="K1007" s="226"/>
      <c r="L1007" s="226"/>
      <c r="M1007" s="226"/>
      <c r="N1007" s="226"/>
      <c r="O1007" s="226"/>
      <c r="P1007" s="226"/>
      <c r="Q1007" s="226"/>
      <c r="R1007" s="226"/>
      <c r="S1007" s="226"/>
      <c r="T1007" s="226"/>
      <c r="U1007" s="226"/>
      <c r="V1007" s="226"/>
      <c r="W1007" s="226"/>
      <c r="X1007" s="226"/>
      <c r="Y1007" s="226"/>
      <c r="Z1007" s="226"/>
    </row>
    <row r="1008" spans="1:26" ht="16.5" customHeight="1">
      <c r="A1008" s="237"/>
      <c r="B1008" s="237"/>
      <c r="C1008" s="237"/>
      <c r="D1008" s="226"/>
      <c r="E1008" s="226"/>
      <c r="F1008" s="226"/>
      <c r="G1008" s="226"/>
      <c r="H1008" s="226"/>
      <c r="I1008" s="226"/>
      <c r="J1008" s="226"/>
      <c r="K1008" s="226"/>
      <c r="L1008" s="226"/>
      <c r="M1008" s="226"/>
      <c r="N1008" s="226"/>
      <c r="O1008" s="226"/>
      <c r="P1008" s="226"/>
      <c r="Q1008" s="226"/>
      <c r="R1008" s="226"/>
      <c r="S1008" s="226"/>
      <c r="T1008" s="226"/>
      <c r="U1008" s="226"/>
      <c r="V1008" s="226"/>
      <c r="W1008" s="226"/>
      <c r="X1008" s="226"/>
      <c r="Y1008" s="226"/>
      <c r="Z1008" s="226"/>
    </row>
    <row r="1009" spans="1:26" ht="16.5" customHeight="1">
      <c r="A1009" s="237"/>
      <c r="B1009" s="237"/>
      <c r="C1009" s="237"/>
      <c r="D1009" s="226"/>
      <c r="E1009" s="226"/>
      <c r="F1009" s="226"/>
      <c r="G1009" s="226"/>
      <c r="H1009" s="226"/>
      <c r="I1009" s="226"/>
      <c r="J1009" s="226"/>
      <c r="K1009" s="226"/>
      <c r="L1009" s="226"/>
      <c r="M1009" s="226"/>
      <c r="N1009" s="226"/>
      <c r="O1009" s="226"/>
      <c r="P1009" s="226"/>
      <c r="Q1009" s="226"/>
      <c r="R1009" s="226"/>
      <c r="S1009" s="226"/>
      <c r="T1009" s="226"/>
      <c r="U1009" s="226"/>
      <c r="V1009" s="226"/>
      <c r="W1009" s="226"/>
      <c r="X1009" s="226"/>
      <c r="Y1009" s="226"/>
      <c r="Z1009" s="226"/>
    </row>
    <row r="1010" spans="1:26" ht="16.5" customHeight="1">
      <c r="A1010" s="237"/>
      <c r="B1010" s="237"/>
      <c r="C1010" s="237"/>
      <c r="D1010" s="226"/>
      <c r="E1010" s="226"/>
      <c r="F1010" s="226"/>
      <c r="G1010" s="226"/>
      <c r="H1010" s="226"/>
      <c r="I1010" s="226"/>
      <c r="J1010" s="226"/>
      <c r="K1010" s="226"/>
      <c r="L1010" s="226"/>
      <c r="M1010" s="226"/>
      <c r="N1010" s="226"/>
      <c r="O1010" s="226"/>
      <c r="P1010" s="226"/>
      <c r="Q1010" s="226"/>
      <c r="R1010" s="226"/>
      <c r="S1010" s="226"/>
      <c r="T1010" s="226"/>
      <c r="U1010" s="226"/>
      <c r="V1010" s="226"/>
      <c r="W1010" s="226"/>
      <c r="X1010" s="226"/>
      <c r="Y1010" s="226"/>
      <c r="Z1010" s="226"/>
    </row>
    <row r="1011" spans="1:26" ht="16.5" customHeight="1">
      <c r="A1011" s="237"/>
      <c r="B1011" s="237"/>
      <c r="C1011" s="237"/>
      <c r="D1011" s="226"/>
      <c r="E1011" s="226"/>
      <c r="F1011" s="226"/>
      <c r="G1011" s="226"/>
      <c r="H1011" s="226"/>
      <c r="I1011" s="226"/>
      <c r="J1011" s="226"/>
      <c r="K1011" s="226"/>
      <c r="L1011" s="226"/>
      <c r="M1011" s="226"/>
      <c r="N1011" s="226"/>
      <c r="O1011" s="226"/>
      <c r="P1011" s="226"/>
      <c r="Q1011" s="226"/>
      <c r="R1011" s="226"/>
      <c r="S1011" s="226"/>
      <c r="T1011" s="226"/>
      <c r="U1011" s="226"/>
      <c r="V1011" s="226"/>
      <c r="W1011" s="226"/>
      <c r="X1011" s="226"/>
      <c r="Y1011" s="226"/>
      <c r="Z1011" s="226"/>
    </row>
    <row r="1012" spans="1:26" ht="16.5" customHeight="1">
      <c r="A1012" s="237"/>
      <c r="B1012" s="237"/>
      <c r="C1012" s="237"/>
      <c r="D1012" s="226"/>
      <c r="E1012" s="226"/>
      <c r="F1012" s="226"/>
      <c r="G1012" s="226"/>
      <c r="H1012" s="226"/>
      <c r="I1012" s="226"/>
      <c r="J1012" s="226"/>
      <c r="K1012" s="226"/>
      <c r="L1012" s="226"/>
      <c r="M1012" s="226"/>
      <c r="N1012" s="226"/>
      <c r="O1012" s="226"/>
      <c r="P1012" s="226"/>
      <c r="Q1012" s="226"/>
      <c r="R1012" s="226"/>
      <c r="S1012" s="226"/>
      <c r="T1012" s="226"/>
      <c r="U1012" s="226"/>
      <c r="V1012" s="226"/>
      <c r="W1012" s="226"/>
      <c r="X1012" s="226"/>
      <c r="Y1012" s="226"/>
      <c r="Z1012" s="226"/>
    </row>
  </sheetData>
  <mergeCells count="27">
    <mergeCell ref="A26:A37"/>
    <mergeCell ref="B26:B37"/>
    <mergeCell ref="A38:A41"/>
    <mergeCell ref="B38:B41"/>
    <mergeCell ref="A42:A44"/>
    <mergeCell ref="B42:B44"/>
    <mergeCell ref="C42:C43"/>
    <mergeCell ref="C48:C54"/>
    <mergeCell ref="C55:C61"/>
    <mergeCell ref="A2:A8"/>
    <mergeCell ref="B2:B8"/>
    <mergeCell ref="C2:C4"/>
    <mergeCell ref="C5:C8"/>
    <mergeCell ref="B9:B25"/>
    <mergeCell ref="C9:C10"/>
    <mergeCell ref="A45:A47"/>
    <mergeCell ref="B45:B47"/>
    <mergeCell ref="C45:C47"/>
    <mergeCell ref="A48:A61"/>
    <mergeCell ref="B48:B61"/>
    <mergeCell ref="A9:A25"/>
    <mergeCell ref="C11:C14"/>
    <mergeCell ref="C15:C18"/>
    <mergeCell ref="C26:C31"/>
    <mergeCell ref="C32:C37"/>
    <mergeCell ref="C38:C41"/>
    <mergeCell ref="C20:C25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39997558519241921"/>
    <outlinePr summaryBelow="0" summaryRight="0"/>
  </sheetPr>
  <dimension ref="A1:E10"/>
  <sheetViews>
    <sheetView showGridLines="0" zoomScale="217" workbookViewId="0">
      <selection activeCell="B6" sqref="B6"/>
    </sheetView>
  </sheetViews>
  <sheetFormatPr defaultColWidth="14.44140625" defaultRowHeight="15" customHeight="1"/>
  <cols>
    <col min="1" max="1" width="21.77734375" style="39" customWidth="1"/>
    <col min="2" max="2" width="19.44140625" style="39" customWidth="1"/>
    <col min="3" max="16384" width="14.44140625" style="39"/>
  </cols>
  <sheetData>
    <row r="1" spans="1:5" s="245" customFormat="1" ht="15" customHeight="1">
      <c r="A1" s="246" t="s">
        <v>332</v>
      </c>
      <c r="B1" s="246" t="s">
        <v>333</v>
      </c>
      <c r="C1" s="246"/>
      <c r="D1" s="246"/>
      <c r="E1" s="246"/>
    </row>
    <row r="2" spans="1:5" ht="15" customHeight="1">
      <c r="A2" s="249" t="s">
        <v>334</v>
      </c>
      <c r="B2" s="250" t="s">
        <v>91</v>
      </c>
      <c r="C2" s="250" t="s">
        <v>96</v>
      </c>
      <c r="D2" s="250" t="s">
        <v>76</v>
      </c>
      <c r="E2" s="251" t="s">
        <v>335</v>
      </c>
    </row>
    <row r="3" spans="1:5" ht="15" customHeight="1">
      <c r="A3" s="247" t="s">
        <v>128</v>
      </c>
      <c r="B3" s="247">
        <v>2</v>
      </c>
      <c r="C3" s="247">
        <v>0</v>
      </c>
      <c r="D3" s="247">
        <v>0</v>
      </c>
      <c r="E3" s="247">
        <v>2</v>
      </c>
    </row>
    <row r="4" spans="1:5" ht="15" customHeight="1">
      <c r="A4" s="247" t="s">
        <v>142</v>
      </c>
      <c r="B4" s="247">
        <v>4</v>
      </c>
      <c r="C4" s="247">
        <v>2</v>
      </c>
      <c r="D4" s="247">
        <v>0</v>
      </c>
      <c r="E4" s="247">
        <v>6</v>
      </c>
    </row>
    <row r="5" spans="1:5" ht="15" customHeight="1">
      <c r="A5" s="247" t="s">
        <v>90</v>
      </c>
      <c r="B5" s="247">
        <v>3</v>
      </c>
      <c r="C5" s="247">
        <v>3</v>
      </c>
      <c r="D5" s="247">
        <v>0</v>
      </c>
      <c r="E5" s="247">
        <v>6</v>
      </c>
    </row>
    <row r="6" spans="1:5" ht="15" customHeight="1">
      <c r="A6" s="247" t="s">
        <v>102</v>
      </c>
      <c r="B6" s="247">
        <v>13</v>
      </c>
      <c r="C6" s="247">
        <v>3</v>
      </c>
      <c r="D6" s="247">
        <v>0</v>
      </c>
      <c r="E6" s="247">
        <v>16</v>
      </c>
    </row>
    <row r="7" spans="1:5" ht="15" customHeight="1">
      <c r="A7" s="247" t="s">
        <v>131</v>
      </c>
      <c r="B7" s="247">
        <v>2</v>
      </c>
      <c r="C7" s="247">
        <v>2</v>
      </c>
      <c r="D7" s="247">
        <v>2</v>
      </c>
      <c r="E7" s="247">
        <v>6</v>
      </c>
    </row>
    <row r="8" spans="1:5" ht="15" customHeight="1">
      <c r="A8" s="247" t="s">
        <v>151</v>
      </c>
      <c r="B8" s="247">
        <v>4</v>
      </c>
      <c r="C8" s="247">
        <v>14</v>
      </c>
      <c r="D8" s="247">
        <v>0</v>
      </c>
      <c r="E8" s="247">
        <v>18</v>
      </c>
    </row>
    <row r="9" spans="1:5" ht="15" customHeight="1">
      <c r="A9" s="247" t="s">
        <v>125</v>
      </c>
      <c r="B9" s="247">
        <v>11</v>
      </c>
      <c r="C9" s="247">
        <v>1</v>
      </c>
      <c r="D9" s="247">
        <v>0</v>
      </c>
      <c r="E9" s="247">
        <v>12</v>
      </c>
    </row>
    <row r="10" spans="1:5" ht="15" customHeight="1">
      <c r="A10" s="248" t="s">
        <v>335</v>
      </c>
      <c r="B10" s="248">
        <v>39</v>
      </c>
      <c r="C10" s="248">
        <v>25</v>
      </c>
      <c r="D10" s="248">
        <v>2</v>
      </c>
      <c r="E10" s="248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0"/>
  <sheetViews>
    <sheetView workbookViewId="0">
      <selection activeCell="E19" sqref="E19"/>
    </sheetView>
  </sheetViews>
  <sheetFormatPr defaultColWidth="14.44140625" defaultRowHeight="15" customHeight="1"/>
  <cols>
    <col min="1" max="1" width="31.77734375" style="41" customWidth="1"/>
    <col min="2" max="5" width="11.44140625" style="41" customWidth="1"/>
    <col min="6" max="6" width="16.21875" style="41" customWidth="1"/>
    <col min="7" max="16384" width="14.44140625" style="41"/>
  </cols>
  <sheetData>
    <row r="1" spans="1:6" ht="15" customHeight="1">
      <c r="B1" s="225"/>
    </row>
    <row r="2" spans="1:6" s="252" customFormat="1" ht="28.05" customHeight="1">
      <c r="A2" s="292" t="s">
        <v>334</v>
      </c>
      <c r="B2" s="293" t="s">
        <v>91</v>
      </c>
      <c r="C2" s="293" t="s">
        <v>96</v>
      </c>
      <c r="D2" s="293" t="s">
        <v>76</v>
      </c>
      <c r="E2" s="293" t="s">
        <v>74</v>
      </c>
      <c r="F2" s="294" t="s">
        <v>335</v>
      </c>
    </row>
    <row r="3" spans="1:6" s="252" customFormat="1" ht="28.05" customHeight="1">
      <c r="A3" s="257" t="s">
        <v>128</v>
      </c>
      <c r="B3" s="253">
        <f>VLOOKUP($A$3:$A$10,'Pivot Table'!$A$3:$E$10,2,FALSE)</f>
        <v>2</v>
      </c>
      <c r="C3" s="253">
        <v>0</v>
      </c>
      <c r="D3" s="253">
        <v>0</v>
      </c>
      <c r="E3" s="253">
        <v>0</v>
      </c>
      <c r="F3" s="254">
        <v>2</v>
      </c>
    </row>
    <row r="4" spans="1:6" s="252" customFormat="1" ht="28.05" customHeight="1">
      <c r="A4" s="257" t="s">
        <v>142</v>
      </c>
      <c r="B4" s="253">
        <f>VLOOKUP($A$3:$A$10,'Pivot Table'!$A$3:$E$10,2,FALSE)</f>
        <v>4</v>
      </c>
      <c r="C4" s="253">
        <f>VLOOKUP($A$3:$A$10,'Pivot Table'!$A$3:$E$10,3,FALSE)</f>
        <v>2</v>
      </c>
      <c r="D4" s="253">
        <v>0</v>
      </c>
      <c r="E4" s="253">
        <v>0</v>
      </c>
      <c r="F4" s="254">
        <v>6</v>
      </c>
    </row>
    <row r="5" spans="1:6" s="252" customFormat="1" ht="28.05" customHeight="1">
      <c r="A5" s="257" t="s">
        <v>90</v>
      </c>
      <c r="B5" s="253">
        <f>VLOOKUP($A$3:$A$10,'Pivot Table'!$A$3:$E$10,2,FALSE)</f>
        <v>3</v>
      </c>
      <c r="C5" s="253">
        <f>VLOOKUP($A$3:$A$10,'Pivot Table'!$A$3:$E$10,3,FALSE)</f>
        <v>3</v>
      </c>
      <c r="D5" s="253">
        <v>0</v>
      </c>
      <c r="E5" s="253">
        <v>0</v>
      </c>
      <c r="F5" s="254">
        <v>6</v>
      </c>
    </row>
    <row r="6" spans="1:6" s="252" customFormat="1" ht="28.05" customHeight="1">
      <c r="A6" s="257" t="s">
        <v>102</v>
      </c>
      <c r="B6" s="253">
        <f>VLOOKUP($A$3:$A$10,'Pivot Table'!$A$3:$E$10,2,FALSE)</f>
        <v>13</v>
      </c>
      <c r="C6" s="253">
        <f>VLOOKUP($A$3:$A$10,'Pivot Table'!$A$3:$E$10,3,FALSE)</f>
        <v>3</v>
      </c>
      <c r="D6" s="253">
        <v>0</v>
      </c>
      <c r="E6" s="253">
        <v>0</v>
      </c>
      <c r="F6" s="254">
        <v>16</v>
      </c>
    </row>
    <row r="7" spans="1:6" s="252" customFormat="1" ht="28.05" customHeight="1">
      <c r="A7" s="257" t="s">
        <v>131</v>
      </c>
      <c r="B7" s="253">
        <f>VLOOKUP($A$3:$A$10,'Pivot Table'!$A$3:$E$10,2,FALSE)</f>
        <v>2</v>
      </c>
      <c r="C7" s="253">
        <f>VLOOKUP($A$3:$A$10,'Pivot Table'!$A$3:$E$10,3,FALSE)</f>
        <v>2</v>
      </c>
      <c r="D7" s="253">
        <f>VLOOKUP($A$3:$A$10,'Pivot Table'!$A$3:$E$10,4,FALSE)</f>
        <v>2</v>
      </c>
      <c r="E7" s="253">
        <v>0</v>
      </c>
      <c r="F7" s="254">
        <v>6</v>
      </c>
    </row>
    <row r="8" spans="1:6" s="252" customFormat="1" ht="28.05" customHeight="1">
      <c r="A8" s="257" t="s">
        <v>151</v>
      </c>
      <c r="B8" s="253">
        <f>VLOOKUP($A$3:$A$10,'Pivot Table'!$A$3:$E$10,2,FALSE)</f>
        <v>4</v>
      </c>
      <c r="C8" s="253">
        <f>VLOOKUP($A$3:$A$10,'Pivot Table'!$A$3:$E$10,3,FALSE)</f>
        <v>14</v>
      </c>
      <c r="D8" s="253">
        <v>0</v>
      </c>
      <c r="E8" s="253">
        <v>0</v>
      </c>
      <c r="F8" s="254">
        <v>18</v>
      </c>
    </row>
    <row r="9" spans="1:6" s="252" customFormat="1" ht="28.05" customHeight="1">
      <c r="A9" s="257" t="s">
        <v>125</v>
      </c>
      <c r="B9" s="253">
        <f>VLOOKUP($A$3:$A$10,'Pivot Table'!$A$3:$E$10,2,FALSE)</f>
        <v>11</v>
      </c>
      <c r="C9" s="253">
        <f>VLOOKUP($A$3:$A$10,'Pivot Table'!$A$3:$E$10,3,FALSE)</f>
        <v>1</v>
      </c>
      <c r="D9" s="253">
        <v>0</v>
      </c>
      <c r="E9" s="253">
        <v>0</v>
      </c>
      <c r="F9" s="254">
        <v>12</v>
      </c>
    </row>
    <row r="10" spans="1:6" s="252" customFormat="1" ht="28.05" customHeight="1">
      <c r="A10" s="258" t="s">
        <v>335</v>
      </c>
      <c r="B10" s="255">
        <f>VLOOKUP($A$3:$A$10,'Pivot Table'!$A$3:$E$10,2,FALSE)</f>
        <v>39</v>
      </c>
      <c r="C10" s="255">
        <f>VLOOKUP($A$3:$A$10,'Pivot Table'!$A$3:$E$10,3,FALSE)</f>
        <v>25</v>
      </c>
      <c r="D10" s="255">
        <f>VLOOKUP($A$3:$A$10,'Pivot Table'!$A$3:$E$10,4,FALSE)</f>
        <v>2</v>
      </c>
      <c r="E10" s="255">
        <v>0</v>
      </c>
      <c r="F10" s="256">
        <v>66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0_History_Log</vt:lpstr>
      <vt:lpstr>0. Asset Evaluation </vt:lpstr>
      <vt:lpstr>1_Impact_LikeliHood</vt:lpstr>
      <vt:lpstr>2_Risk_Criteria</vt:lpstr>
      <vt:lpstr>3_Risk_Assessment</vt:lpstr>
      <vt:lpstr>4_RTP</vt:lpstr>
      <vt:lpstr>Type of Asset</vt:lpstr>
      <vt:lpstr>Group Of Asset</vt:lpstr>
      <vt:lpstr>Pivot Table</vt:lpstr>
      <vt:lpstr>Data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Wanlaya Songsana</dc:creator>
  <cp:lastModifiedBy>Orathai Boonsarn</cp:lastModifiedBy>
  <cp:lastPrinted>2025-08-16T08:41:40Z</cp:lastPrinted>
  <dcterms:created xsi:type="dcterms:W3CDTF">2023-11-13T04:43:25Z</dcterms:created>
  <dcterms:modified xsi:type="dcterms:W3CDTF">2026-01-22T05:10:08Z</dcterms:modified>
</cp:coreProperties>
</file>